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codeName="ThisWorkbook"/>
  <bookViews>
    <workbookView xWindow="0" yWindow="0" windowWidth="19200" windowHeight="11280"/>
  </bookViews>
  <sheets>
    <sheet name="Balance del flujo de caja" sheetId="1" r:id="rId1"/>
  </sheets>
  <definedNames>
    <definedName name="FechaDeInicioelañoFiscal">'Balance del flujo de caja'!$B$4</definedName>
  </definedNames>
  <calcPr calcId="152511"/>
</workbook>
</file>

<file path=xl/calcChain.xml><?xml version="1.0" encoding="utf-8"?>
<calcChain xmlns="http://schemas.openxmlformats.org/spreadsheetml/2006/main">
  <c r="P3" i="1" l="1"/>
  <c r="O3" i="1"/>
  <c r="N3" i="1"/>
  <c r="M3" i="1"/>
  <c r="L3" i="1"/>
  <c r="K3" i="1"/>
  <c r="J3" i="1"/>
  <c r="I3" i="1"/>
  <c r="H3" i="1"/>
  <c r="G3" i="1"/>
  <c r="F3" i="1"/>
  <c r="E3" i="1" l="1"/>
  <c r="D12" i="1" l="1"/>
  <c r="E12" i="1"/>
  <c r="F12" i="1"/>
  <c r="G12" i="1"/>
  <c r="H12" i="1"/>
  <c r="I12" i="1"/>
  <c r="J12" i="1"/>
  <c r="K12" i="1"/>
  <c r="L12" i="1"/>
  <c r="M12" i="1"/>
  <c r="N12" i="1"/>
  <c r="O12" i="1"/>
  <c r="P12" i="1"/>
  <c r="E4" i="1"/>
  <c r="F4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E46" i="1"/>
  <c r="F46" i="1"/>
  <c r="G46" i="1"/>
  <c r="H46" i="1"/>
  <c r="I46" i="1"/>
  <c r="J46" i="1"/>
  <c r="K46" i="1"/>
  <c r="L46" i="1"/>
  <c r="M46" i="1"/>
  <c r="N46" i="1"/>
  <c r="O46" i="1"/>
  <c r="P46" i="1"/>
  <c r="D46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R44" i="1"/>
  <c r="R43" i="1"/>
  <c r="R42" i="1"/>
  <c r="R41" i="1"/>
  <c r="R40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R17" i="1"/>
  <c r="R16" i="1"/>
  <c r="D13" i="1"/>
  <c r="R9" i="1"/>
  <c r="R10" i="1"/>
  <c r="R11" i="1"/>
  <c r="R12" i="1" l="1"/>
  <c r="D48" i="1"/>
  <c r="E6" i="1" s="1"/>
  <c r="E13" i="1" s="1"/>
  <c r="E48" i="1" s="1"/>
  <c r="F6" i="1" s="1"/>
  <c r="F13" i="1" s="1"/>
  <c r="F48" i="1" s="1"/>
  <c r="G6" i="1" s="1"/>
  <c r="G13" i="1" s="1"/>
  <c r="G48" i="1" s="1"/>
  <c r="H6" i="1" s="1"/>
  <c r="H13" i="1" s="1"/>
  <c r="H48" i="1" s="1"/>
  <c r="I6" i="1" s="1"/>
  <c r="I13" i="1" s="1"/>
  <c r="I48" i="1" s="1"/>
  <c r="J6" i="1" s="1"/>
  <c r="J13" i="1" s="1"/>
  <c r="J48" i="1" s="1"/>
  <c r="K6" i="1" s="1"/>
  <c r="K13" i="1" s="1"/>
  <c r="K48" i="1" s="1"/>
  <c r="L6" i="1" s="1"/>
  <c r="L13" i="1" s="1"/>
  <c r="L48" i="1" s="1"/>
  <c r="M6" i="1" s="1"/>
  <c r="M13" i="1" s="1"/>
  <c r="M48" i="1" s="1"/>
  <c r="N6" i="1" s="1"/>
  <c r="N13" i="1" s="1"/>
  <c r="N48" i="1" s="1"/>
  <c r="O6" i="1" s="1"/>
  <c r="O13" i="1" s="1"/>
  <c r="O48" i="1" s="1"/>
  <c r="P6" i="1" s="1"/>
  <c r="R46" i="1"/>
  <c r="R45" i="1"/>
  <c r="R37" i="1"/>
  <c r="P13" i="1" l="1"/>
  <c r="P48" i="1" s="1"/>
  <c r="R6" i="1"/>
  <c r="R13" i="1" s="1"/>
  <c r="R48" i="1" s="1"/>
</calcChain>
</file>

<file path=xl/sharedStrings.xml><?xml version="1.0" encoding="utf-8"?>
<sst xmlns="http://schemas.openxmlformats.org/spreadsheetml/2006/main" count="45" uniqueCount="40">
  <si>
    <t>Efectivo en la mano (al principio del mes)</t>
  </si>
  <si>
    <t>Ventas en efectivo</t>
  </si>
  <si>
    <t>Cobros de las cuentas fm CR</t>
  </si>
  <si>
    <t>Préstamo / Otras inyecciones de efectivo</t>
  </si>
  <si>
    <t>Efectivo total disponible (antes del retiro)</t>
  </si>
  <si>
    <t>Compras (mercadería)</t>
  </si>
  <si>
    <t>Compras (especifique)</t>
  </si>
  <si>
    <t>Salarios brutos (retiro exacto)</t>
  </si>
  <si>
    <t>Gastos de personal (impuestos, etc.)</t>
  </si>
  <si>
    <t>Servicios externos</t>
  </si>
  <si>
    <t>Suministros (oficina y operaciones)</t>
  </si>
  <si>
    <t>Reparaciones y mantenimiento</t>
  </si>
  <si>
    <t>Publicidad</t>
  </si>
  <si>
    <t>Auto, envíos y viajes</t>
  </si>
  <si>
    <t>Contabilidad y asesoría legal</t>
  </si>
  <si>
    <t>Alquiler</t>
  </si>
  <si>
    <t>Teléfono</t>
  </si>
  <si>
    <t>Servicios públicos</t>
  </si>
  <si>
    <t>Seguro</t>
  </si>
  <si>
    <t>Impuestos (bienes raíces, etc.)</t>
  </si>
  <si>
    <t>Interés</t>
  </si>
  <si>
    <t>Otros gastos (especifique)</t>
  </si>
  <si>
    <t>Otro (especifique)</t>
  </si>
  <si>
    <t>Varios</t>
  </si>
  <si>
    <t>Pago principal del préstamo</t>
  </si>
  <si>
    <t>Compra de capital (especifique)</t>
  </si>
  <si>
    <t>Otros costos de lanzamiento</t>
  </si>
  <si>
    <t>Posición del efectivo (al final del mes)</t>
  </si>
  <si>
    <t>Total</t>
  </si>
  <si>
    <t>Recibos de efectivo</t>
  </si>
  <si>
    <t>Efectivo pagado</t>
  </si>
  <si>
    <t>Efectivo pagado (No Pérdidas y Ganancias)</t>
  </si>
  <si>
    <t>Efectivo total pagado</t>
  </si>
  <si>
    <t>Comienza el año fiscal:</t>
  </si>
  <si>
    <t>EST</t>
  </si>
  <si>
    <t>EST del elemento</t>
  </si>
  <si>
    <r>
      <t xml:space="preserve">Flujo de caja </t>
    </r>
    <r>
      <rPr>
        <b/>
        <sz val="28"/>
        <color theme="1" tint="0.14999847407452621"/>
        <rFont val="Franklin Gothic Medium"/>
        <family val="2"/>
        <scheme val="major"/>
      </rPr>
      <t>Declaración</t>
    </r>
  </si>
  <si>
    <t>(Pre) Lanzamiento</t>
  </si>
  <si>
    <t>Reserva y/o garantía</t>
  </si>
  <si>
    <t>Retiro de los dueños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</si>
</sst>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m"/>
    <numFmt numFmtId="165" formatCode="dd"/>
    <numFmt numFmtId="166" formatCode="0_);\-0_)"/>
  </numFmts>
  <fonts count="15" x14ac:knownFonts="1">
    <font>
      <sz val="10"/>
      <color theme="1" tint="0.14996795556505021"/>
      <name val="Franklin Gothic Medium"/>
      <family val="2"/>
      <scheme val="minor"/>
    </font>
    <font>
      <b/>
      <sz val="11"/>
      <color theme="4" tint="-0.249977111117893"/>
      <name val="Franklin Gothic Medium"/>
      <family val="2"/>
      <scheme val="minor"/>
    </font>
    <font>
      <sz val="10"/>
      <color theme="1" tint="0.14999847407452621"/>
      <name val="Franklin Gothic Medium"/>
      <family val="2"/>
      <scheme val="minor"/>
    </font>
    <font>
      <sz val="9"/>
      <color theme="1" tint="0.14999847407452621"/>
      <name val="Franklin Gothic Medium"/>
      <family val="2"/>
      <scheme val="minor"/>
    </font>
    <font>
      <sz val="10"/>
      <color theme="1"/>
      <name val="Franklin Gothic Medium"/>
      <family val="2"/>
      <scheme val="minor"/>
    </font>
    <font>
      <b/>
      <sz val="12"/>
      <color theme="1" tint="0.14999847407452621"/>
      <name val="Franklin Gothic Medium"/>
      <family val="2"/>
      <scheme val="minor"/>
    </font>
    <font>
      <b/>
      <sz val="28"/>
      <color theme="4"/>
      <name val="Franklin Gothic Medium"/>
      <family val="2"/>
      <scheme val="major"/>
    </font>
    <font>
      <b/>
      <sz val="28"/>
      <color theme="1" tint="0.14999847407452621"/>
      <name val="Franklin Gothic Medium"/>
      <family val="2"/>
      <scheme val="major"/>
    </font>
    <font>
      <b/>
      <sz val="12"/>
      <color theme="1" tint="0.14999847407452621"/>
      <name val="Franklin Gothic Medium"/>
      <family val="2"/>
      <scheme val="major"/>
    </font>
    <font>
      <sz val="18"/>
      <color theme="1" tint="0.14996795556505021"/>
      <name val="Franklin Gothic Medium"/>
      <family val="2"/>
      <scheme val="major"/>
    </font>
    <font>
      <sz val="11"/>
      <color theme="1" tint="0.14975432599871821"/>
      <name val="Franklin Gothic Medium"/>
      <family val="2"/>
      <scheme val="major"/>
    </font>
    <font>
      <sz val="12"/>
      <color theme="3"/>
      <name val="Franklin Gothic Medium"/>
      <family val="2"/>
      <scheme val="major"/>
    </font>
    <font>
      <sz val="11"/>
      <color theme="1" tint="0.14993743705557422"/>
      <name val="Franklin Gothic Medium"/>
      <family val="2"/>
      <scheme val="major"/>
    </font>
    <font>
      <sz val="14"/>
      <color theme="1" tint="0.14975432599871821"/>
      <name val="Franklin Gothic Medium"/>
      <family val="2"/>
      <scheme val="major"/>
    </font>
    <font>
      <sz val="10"/>
      <color theme="1" tint="0.499984740745262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1" tint="0.14996795556505021"/>
      </bottom>
      <diagonal/>
    </border>
    <border>
      <left style="dotted">
        <color theme="0" tint="-0.34998626667073579"/>
      </left>
      <right style="dotted">
        <color theme="0" tint="-0.34998626667073579"/>
      </right>
      <top/>
      <bottom/>
      <diagonal/>
    </border>
    <border>
      <left style="dotted">
        <color theme="0" tint="-0.34998626667073579"/>
      </left>
      <right style="dotted">
        <color theme="0" tint="-0.34998626667073579"/>
      </right>
      <top/>
      <bottom style="thick">
        <color theme="4"/>
      </bottom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dotted">
        <color theme="0" tint="-0.34998626667073579"/>
      </left>
      <right style="dotted">
        <color theme="0" tint="-0.34998626667073579"/>
      </right>
      <top style="thin">
        <color theme="0"/>
      </top>
      <bottom style="thin">
        <color theme="0"/>
      </bottom>
      <diagonal/>
    </border>
    <border>
      <left style="dotted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dotted">
        <color theme="0" tint="-0.34998626667073579"/>
      </left>
      <right style="dotted">
        <color theme="0" tint="-0.34998626667073579"/>
      </right>
      <top/>
      <bottom style="medium">
        <color theme="4" tint="0.39994506668294322"/>
      </bottom>
      <diagonal/>
    </border>
    <border>
      <left/>
      <right style="dotted">
        <color theme="0" tint="-0.34998626667073579"/>
      </right>
      <top/>
      <bottom style="medium">
        <color theme="4" tint="0.39994506668294322"/>
      </bottom>
      <diagonal/>
    </border>
  </borders>
  <cellStyleXfs count="7">
    <xf numFmtId="0" fontId="0" fillId="0" borderId="0">
      <alignment vertical="center"/>
    </xf>
    <xf numFmtId="0" fontId="6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66" fontId="2" fillId="3" borderId="10" applyFont="0" applyAlignment="0">
      <alignment vertical="center"/>
    </xf>
    <xf numFmtId="164" fontId="9" fillId="0" borderId="2">
      <alignment horizontal="right" vertical="center" wrapText="1" indent="1"/>
    </xf>
  </cellStyleXfs>
  <cellXfs count="56">
    <xf numFmtId="0" fontId="0" fillId="0" borderId="0" xfId="0">
      <alignment vertical="center"/>
    </xf>
    <xf numFmtId="3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4" fontId="2" fillId="0" borderId="0" xfId="0" applyNumberFormat="1" applyFont="1" applyBorder="1" applyAlignment="1">
      <alignment horizontal="left" vertical="center" indent="1"/>
    </xf>
    <xf numFmtId="3" fontId="2" fillId="0" borderId="0" xfId="0" applyNumberFormat="1" applyFont="1" applyFill="1" applyBorder="1" applyAlignment="1">
      <alignment horizontal="right" wrapText="1" indent="1"/>
    </xf>
    <xf numFmtId="165" fontId="3" fillId="0" borderId="0" xfId="0" applyNumberFormat="1" applyFont="1" applyFill="1" applyBorder="1" applyAlignment="1">
      <alignment horizontal="right" wrapText="1" indent="1"/>
    </xf>
    <xf numFmtId="3" fontId="3" fillId="0" borderId="0" xfId="0" applyNumberFormat="1" applyFont="1" applyFill="1" applyBorder="1" applyAlignment="1">
      <alignment horizontal="right" wrapText="1" indent="1"/>
    </xf>
    <xf numFmtId="0" fontId="6" fillId="0" borderId="1" xfId="1" applyBorder="1"/>
    <xf numFmtId="0" fontId="0" fillId="0" borderId="1" xfId="0" applyBorder="1">
      <alignment vertical="center"/>
    </xf>
    <xf numFmtId="0" fontId="1" fillId="0" borderId="1" xfId="0" applyFont="1" applyBorder="1" applyAlignment="1">
      <alignment horizontal="right"/>
    </xf>
    <xf numFmtId="166" fontId="0" fillId="0" borderId="0" xfId="0" applyNumberFormat="1">
      <alignment vertical="center"/>
    </xf>
    <xf numFmtId="0" fontId="10" fillId="0" borderId="0" xfId="2" applyAlignment="1">
      <alignment horizontal="left"/>
    </xf>
    <xf numFmtId="166" fontId="0" fillId="0" borderId="0" xfId="0" applyNumberFormat="1" applyFont="1" applyFill="1" applyBorder="1">
      <alignment vertical="center"/>
    </xf>
    <xf numFmtId="0" fontId="0" fillId="0" borderId="0" xfId="0" applyFont="1" applyFill="1" applyBorder="1" applyAlignment="1">
      <alignment horizontal="left" vertical="center" indent="1"/>
    </xf>
    <xf numFmtId="0" fontId="0" fillId="0" borderId="0" xfId="0" applyFont="1" applyFill="1" applyBorder="1" applyAlignment="1"/>
    <xf numFmtId="0" fontId="0" fillId="0" borderId="0" xfId="0" applyAlignment="1"/>
    <xf numFmtId="0" fontId="0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166" fontId="0" fillId="0" borderId="0" xfId="0" applyNumberFormat="1" applyFont="1" applyFill="1" applyBorder="1" applyAlignment="1">
      <alignment vertical="center"/>
    </xf>
    <xf numFmtId="3" fontId="3" fillId="0" borderId="2" xfId="0" applyNumberFormat="1" applyFont="1" applyFill="1" applyBorder="1" applyAlignment="1">
      <alignment horizontal="right" wrapText="1" indent="1"/>
    </xf>
    <xf numFmtId="3" fontId="5" fillId="0" borderId="2" xfId="0" applyNumberFormat="1" applyFont="1" applyFill="1" applyBorder="1" applyAlignment="1">
      <alignment horizontal="right" vertical="center" wrapText="1" indent="1"/>
    </xf>
    <xf numFmtId="3" fontId="2" fillId="0" borderId="3" xfId="0" applyNumberFormat="1" applyFont="1" applyFill="1" applyBorder="1" applyAlignment="1">
      <alignment horizontal="right" wrapText="1" indent="1"/>
    </xf>
    <xf numFmtId="0" fontId="0" fillId="2" borderId="0" xfId="0" applyFill="1">
      <alignment vertical="center"/>
    </xf>
    <xf numFmtId="0" fontId="0" fillId="2" borderId="4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5" xfId="0" applyFill="1" applyBorder="1">
      <alignment vertical="center"/>
    </xf>
    <xf numFmtId="164" fontId="8" fillId="2" borderId="7" xfId="0" applyNumberFormat="1" applyFont="1" applyFill="1" applyBorder="1" applyAlignment="1">
      <alignment horizontal="right" vertical="center" wrapText="1" indent="1"/>
    </xf>
    <xf numFmtId="165" fontId="3" fillId="2" borderId="7" xfId="0" applyNumberFormat="1" applyFont="1" applyFill="1" applyBorder="1" applyAlignment="1">
      <alignment horizontal="right" wrapText="1" indent="1"/>
    </xf>
    <xf numFmtId="165" fontId="3" fillId="2" borderId="6" xfId="0" applyNumberFormat="1" applyFont="1" applyFill="1" applyBorder="1" applyAlignment="1">
      <alignment horizontal="right" wrapText="1" indent="1"/>
    </xf>
    <xf numFmtId="166" fontId="2" fillId="2" borderId="7" xfId="0" applyNumberFormat="1" applyFont="1" applyFill="1" applyBorder="1" applyAlignment="1">
      <alignment horizontal="right"/>
    </xf>
    <xf numFmtId="166" fontId="0" fillId="2" borderId="6" xfId="0" applyNumberFormat="1" applyFill="1" applyBorder="1">
      <alignment vertical="center"/>
    </xf>
    <xf numFmtId="166" fontId="2" fillId="2" borderId="8" xfId="0" applyNumberFormat="1" applyFont="1" applyFill="1" applyBorder="1" applyAlignment="1">
      <alignment vertical="center"/>
    </xf>
    <xf numFmtId="3" fontId="0" fillId="2" borderId="6" xfId="0" applyNumberFormat="1" applyFont="1" applyFill="1" applyBorder="1">
      <alignment vertical="center"/>
    </xf>
    <xf numFmtId="166" fontId="0" fillId="2" borderId="6" xfId="0" applyNumberFormat="1" applyFill="1" applyBorder="1" applyAlignment="1">
      <alignment vertical="center"/>
    </xf>
    <xf numFmtId="166" fontId="0" fillId="2" borderId="6" xfId="0" applyNumberFormat="1" applyFont="1" applyFill="1" applyBorder="1">
      <alignment vertical="center"/>
    </xf>
    <xf numFmtId="166" fontId="0" fillId="2" borderId="6" xfId="0" applyNumberFormat="1" applyFont="1" applyFill="1" applyBorder="1" applyAlignment="1">
      <alignment vertical="center"/>
    </xf>
    <xf numFmtId="0" fontId="0" fillId="2" borderId="9" xfId="0" applyFill="1" applyBorder="1">
      <alignment vertical="center"/>
    </xf>
    <xf numFmtId="0" fontId="10" fillId="0" borderId="0" xfId="2" applyAlignment="1">
      <alignment vertical="center"/>
    </xf>
    <xf numFmtId="0" fontId="1" fillId="0" borderId="11" xfId="0" applyFont="1" applyFill="1" applyBorder="1" applyAlignment="1"/>
    <xf numFmtId="166" fontId="2" fillId="3" borderId="10" xfId="5" applyFont="1" applyAlignment="1">
      <alignment vertical="center"/>
    </xf>
    <xf numFmtId="0" fontId="0" fillId="0" borderId="10" xfId="0" applyBorder="1">
      <alignment vertical="center"/>
    </xf>
    <xf numFmtId="0" fontId="1" fillId="0" borderId="10" xfId="0" applyFont="1" applyFill="1" applyBorder="1">
      <alignment vertical="center"/>
    </xf>
    <xf numFmtId="165" fontId="2" fillId="0" borderId="3" xfId="0" applyNumberFormat="1" applyFont="1" applyFill="1" applyBorder="1" applyAlignment="1">
      <alignment horizontal="right" wrapText="1" indent="1"/>
    </xf>
    <xf numFmtId="166" fontId="2" fillId="3" borderId="10" xfId="5" applyFont="1" applyBorder="1" applyAlignment="1">
      <alignment vertical="center"/>
    </xf>
    <xf numFmtId="166" fontId="4" fillId="0" borderId="0" xfId="0" applyNumberFormat="1" applyFont="1" applyAlignment="1">
      <alignment horizontal="left" vertical="center" indent="1"/>
    </xf>
    <xf numFmtId="166" fontId="10" fillId="0" borderId="11" xfId="2" applyNumberFormat="1" applyFill="1" applyBorder="1" applyAlignment="1">
      <alignment horizontal="left" vertical="center"/>
    </xf>
    <xf numFmtId="166" fontId="2" fillId="0" borderId="10" xfId="0" applyNumberFormat="1" applyFont="1" applyFill="1" applyBorder="1" applyAlignment="1">
      <alignment horizontal="right" vertical="center"/>
    </xf>
    <xf numFmtId="164" fontId="9" fillId="0" borderId="2" xfId="6">
      <alignment horizontal="right" vertical="center" wrapText="1" indent="1"/>
    </xf>
    <xf numFmtId="166" fontId="10" fillId="3" borderId="11" xfId="2" applyNumberFormat="1" applyFill="1" applyBorder="1" applyAlignment="1">
      <alignment horizontal="left" vertical="center"/>
    </xf>
    <xf numFmtId="0" fontId="13" fillId="0" borderId="0" xfId="2" applyFont="1"/>
    <xf numFmtId="166" fontId="0" fillId="0" borderId="0" xfId="0" applyNumberFormat="1" applyAlignment="1">
      <alignment horizontal="right" vertical="center"/>
    </xf>
    <xf numFmtId="166" fontId="0" fillId="0" borderId="0" xfId="0" applyNumberFormat="1" applyFont="1" applyFill="1" applyBorder="1" applyAlignment="1">
      <alignment horizontal="right" vertical="center"/>
    </xf>
    <xf numFmtId="166" fontId="14" fillId="0" borderId="0" xfId="0" applyNumberFormat="1" applyFont="1" applyAlignment="1">
      <alignment horizontal="left" vertical="center" indent="1"/>
    </xf>
    <xf numFmtId="0" fontId="14" fillId="0" borderId="0" xfId="0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center" vertical="center"/>
    </xf>
  </cellXfs>
  <cellStyles count="7">
    <cellStyle name="Encabezado 1" xfId="2" builtinId="16" customBuiltin="1"/>
    <cellStyle name="Month" xfId="6"/>
    <cellStyle name="Normal" xfId="0" builtinId="0" customBuiltin="1"/>
    <cellStyle name="Título" xfId="1" builtinId="15" customBuiltin="1"/>
    <cellStyle name="Título 2" xfId="3" builtinId="17" customBuiltin="1"/>
    <cellStyle name="Título 3" xfId="4" builtinId="18" customBuiltin="1"/>
    <cellStyle name="Totals" xfId="5"/>
  </cellStyles>
  <dxfs count="119"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/>
        <outline/>
        <shadow/>
        <u val="none"/>
        <vertAlign val="baseline"/>
        <sz val="10"/>
        <color theme="1" tint="0.499984740745262"/>
        <name val="Franklin Gothic Medium"/>
        <scheme val="minor"/>
      </font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</dxf>
    <dxf>
      <numFmt numFmtId="166" formatCode="0_);\-0_)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3" formatCode="#,##0"/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/>
        <outline/>
        <shadow/>
        <u val="none"/>
        <vertAlign val="baseline"/>
        <sz val="10"/>
        <color theme="1" tint="0.499984740745262"/>
        <name val="Franklin Gothic Medium"/>
        <scheme val="minor"/>
      </font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numFmt numFmtId="166" formatCode="0_);\-0_)"/>
    </dxf>
    <dxf>
      <numFmt numFmtId="166" formatCode="0_);\-0_)"/>
    </dxf>
    <dxf>
      <numFmt numFmtId="166" formatCode="0_);\-0_)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66" formatCode="0_);\-0_)"/>
      <fill>
        <patternFill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numFmt numFmtId="166" formatCode="0_);\-0_)"/>
      <alignment horizontal="right" vertical="center" textRotation="0" wrapText="0" indent="0" justifyLastLine="0" shrinkToFit="0" readingOrder="0"/>
    </dxf>
    <dxf>
      <numFmt numFmtId="166" formatCode="0_);\-0_)"/>
    </dxf>
    <dxf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Franklin Gothic Medium"/>
        <scheme val="minor"/>
      </font>
      <numFmt numFmtId="166" formatCode="0_);\-0_)"/>
      <alignment horizontal="left" vertical="center" textRotation="0" wrapText="0" indent="1" justifyLastLine="0" shrinkToFit="0" readingOrder="0"/>
    </dxf>
    <dxf>
      <font>
        <strike/>
        <outline/>
        <shadow/>
        <u val="none"/>
        <vertAlign val="baseline"/>
        <sz val="10"/>
        <color theme="1" tint="0.499984740745262"/>
        <name val="Franklin Gothic Medium"/>
        <scheme val="minor"/>
      </font>
      <numFmt numFmtId="166" formatCode="0_);\-0_)"/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  <border>
        <vertical/>
        <horizontal/>
      </border>
    </dxf>
    <dxf>
      <font>
        <color theme="1" tint="0.14996795556505021"/>
      </font>
    </dxf>
    <dxf>
      <border diagonalUp="0" diagonalDown="0">
        <left style="dotted">
          <color theme="0" tint="-0.34998626667073579"/>
        </left>
        <right style="dotted">
          <color theme="0" tint="-0.34998626667073579"/>
        </right>
        <top style="thin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 val="0"/>
        <color theme="1" tint="0.34998626667073579"/>
      </font>
    </dxf>
    <dxf>
      <font>
        <b val="0"/>
        <i val="0"/>
        <color theme="1" tint="0.14990691854609822"/>
      </font>
      <fill>
        <patternFill patternType="solid">
          <bgColor theme="4" tint="0.79998168889431442"/>
        </patternFill>
      </fill>
      <border>
        <top/>
        <bottom style="medium">
          <color theme="4" tint="0.39994506668294322"/>
        </bottom>
      </border>
    </dxf>
    <dxf>
      <font>
        <b val="0"/>
        <i val="0"/>
        <color theme="1" tint="0.14990691854609822"/>
      </font>
    </dxf>
    <dxf>
      <font>
        <color theme="1" tint="0.499984740745262"/>
      </font>
      <border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dotted">
          <color theme="0" tint="-0.34998626667073579"/>
        </vertical>
        <horizontal style="thin">
          <color theme="0" tint="-0.34998626667073579"/>
        </horizontal>
      </border>
    </dxf>
  </dxfs>
  <tableStyles count="1" defaultTableStyle="Cash Receipts" defaultPivotStyle="PivotStyleLight16">
    <tableStyle name="Cash Receipts" pivot="0" count="7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TotalCell" dxfId="113"/>
      <tableStyleElement type="lastTotalCell" dxfId="1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Recibosdeefectivo" displayName="Recibosdeefectivo" ref="B9:S12" headerRowCount="0" totalsRowCount="1">
  <tableColumns count="18">
    <tableColumn id="1" name="Items" totalsRowLabel="Total" headerRowDxfId="108" dataDxfId="107" totalsRowDxfId="106"/>
    <tableColumn id="17" name="Column2" headerRowDxfId="105" dataDxfId="104" totalsRowDxfId="103"/>
    <tableColumn id="2" name="Period 0" totalsRowFunction="sum" dataDxfId="102" totalsRowDxfId="101"/>
    <tableColumn id="3" name="Period 1" totalsRowFunction="sum" dataDxfId="100" totalsRowDxfId="99"/>
    <tableColumn id="4" name="Period 2" totalsRowFunction="sum" dataDxfId="98" totalsRowDxfId="97"/>
    <tableColumn id="5" name="Period 3" totalsRowFunction="sum" dataDxfId="96" totalsRowDxfId="95"/>
    <tableColumn id="6" name="Period 4" totalsRowFunction="sum" dataDxfId="94" totalsRowDxfId="93"/>
    <tableColumn id="7" name="Period 5" totalsRowFunction="sum" dataDxfId="92" totalsRowDxfId="91"/>
    <tableColumn id="8" name="Period 6" totalsRowFunction="sum" dataDxfId="90" totalsRowDxfId="89"/>
    <tableColumn id="9" name="Period 7" totalsRowFunction="sum" dataDxfId="88" totalsRowDxfId="87"/>
    <tableColumn id="10" name="Period 8" totalsRowFunction="sum" dataDxfId="86" totalsRowDxfId="85"/>
    <tableColumn id="11" name="Period 9" totalsRowFunction="sum" dataDxfId="84" totalsRowDxfId="83"/>
    <tableColumn id="12" name="Period 10" totalsRowFunction="sum" dataDxfId="82" totalsRowDxfId="81"/>
    <tableColumn id="13" name="Period 11" totalsRowFunction="sum" dataDxfId="80" totalsRowDxfId="79"/>
    <tableColumn id="14" name="Period 12" totalsRowFunction="sum" dataDxfId="78" totalsRowDxfId="77"/>
    <tableColumn id="18" name="Column3" dataDxfId="76" totalsRowDxfId="75"/>
    <tableColumn id="15" name="Total" totalsRowFunction="sum" dataDxfId="74" totalsRowDxfId="73">
      <calculatedColumnFormula>SUM(Recibosdeefectivo[[#This Row],[Period 0]:[Period 12]])</calculatedColumnFormula>
    </tableColumn>
    <tableColumn id="16" name="Column1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Cash Receipts" altTextSummary="Cash receipts for 12 months starting with the first month of the fiscal year along with a calculated grand total."/>
    </ext>
  </extLst>
</table>
</file>

<file path=xl/tables/table2.xml><?xml version="1.0" encoding="utf-8"?>
<table xmlns="http://schemas.openxmlformats.org/spreadsheetml/2006/main" id="2" name="Efectivopagado" displayName="Efectivopagado" ref="B16:S37" headerRowCount="0" totalsRowCount="1">
  <tableColumns count="18">
    <tableColumn id="1" name="Items" totalsRowLabel="Total" headerRowDxfId="72" dataDxfId="71" totalsRowDxfId="70"/>
    <tableColumn id="17" name="Column2" headerRowDxfId="69" dataDxfId="68" totalsRowDxfId="67"/>
    <tableColumn id="2" name="Period 0" totalsRowFunction="sum" dataDxfId="66" totalsRowDxfId="65"/>
    <tableColumn id="3" name="Period 1" totalsRowFunction="sum" dataDxfId="64" totalsRowDxfId="63"/>
    <tableColumn id="4" name="Period 2" totalsRowFunction="sum" dataDxfId="62" totalsRowDxfId="61"/>
    <tableColumn id="5" name="Period 3" totalsRowFunction="sum" dataDxfId="60" totalsRowDxfId="59"/>
    <tableColumn id="6" name="Period 4" totalsRowFunction="sum" dataDxfId="58" totalsRowDxfId="57"/>
    <tableColumn id="7" name="Period 5" totalsRowFunction="sum" dataDxfId="56" totalsRowDxfId="55"/>
    <tableColumn id="8" name="Period 6" totalsRowFunction="sum" dataDxfId="54" totalsRowDxfId="53"/>
    <tableColumn id="9" name="Period 7" totalsRowFunction="sum" dataDxfId="52" totalsRowDxfId="51"/>
    <tableColumn id="10" name="Period 8" totalsRowFunction="sum" dataDxfId="50" totalsRowDxfId="49"/>
    <tableColumn id="11" name="Period 9" totalsRowFunction="sum" dataDxfId="48" totalsRowDxfId="47"/>
    <tableColumn id="12" name="Period 10" totalsRowFunction="sum" dataDxfId="46" totalsRowDxfId="45"/>
    <tableColumn id="13" name="Period 11" totalsRowFunction="sum" dataDxfId="44" totalsRowDxfId="43"/>
    <tableColumn id="14" name="Period 12" totalsRowFunction="sum" dataDxfId="42" totalsRowDxfId="41"/>
    <tableColumn id="18" name="Column3" dataDxfId="40" totalsRowDxfId="39"/>
    <tableColumn id="15" name="Total" totalsRowFunction="sum" dataDxfId="38" totalsRowDxfId="37">
      <calculatedColumnFormula>SUM(Efectivopagado[[#This Row],[Period 0]:[Period 12]])</calculatedColumnFormula>
    </tableColumn>
    <tableColumn id="16" name="Column1" totalsRowDxfId="36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Cash Paid Out" altTextSummary="Cash payouts for 12 months starting with the first month of the fiscal year along with a calculated grand total."/>
    </ext>
  </extLst>
</table>
</file>

<file path=xl/tables/table3.xml><?xml version="1.0" encoding="utf-8"?>
<table xmlns="http://schemas.openxmlformats.org/spreadsheetml/2006/main" id="3" name="Efectivopagado2" displayName="Efectivopagado2" ref="B40:S45" headerRowCount="0" totalsRowCount="1">
  <tableColumns count="18">
    <tableColumn id="1" name="Items" totalsRowLabel="Total" headerRowDxfId="35" dataDxfId="34" totalsRowDxfId="33"/>
    <tableColumn id="17" name="Column2" headerRowDxfId="32" dataDxfId="31" totalsRowDxfId="30"/>
    <tableColumn id="2" name="Period 0" totalsRowFunction="sum" dataDxfId="29" totalsRowDxfId="28"/>
    <tableColumn id="3" name="Period 1" totalsRowFunction="sum" dataDxfId="27" totalsRowDxfId="26"/>
    <tableColumn id="4" name="Period 2" totalsRowFunction="sum" dataDxfId="25" totalsRowDxfId="24"/>
    <tableColumn id="5" name="Period 3" totalsRowFunction="sum" dataDxfId="23" totalsRowDxfId="22"/>
    <tableColumn id="6" name="Period 4" totalsRowFunction="sum" dataDxfId="21" totalsRowDxfId="20"/>
    <tableColumn id="7" name="Period 5" totalsRowFunction="sum" dataDxfId="19" totalsRowDxfId="18"/>
    <tableColumn id="8" name="Period 6" totalsRowFunction="sum" dataDxfId="17" totalsRowDxfId="16"/>
    <tableColumn id="9" name="Period 7" totalsRowFunction="sum" dataDxfId="15" totalsRowDxfId="14"/>
    <tableColumn id="10" name="Period 8" totalsRowFunction="sum" dataDxfId="13" totalsRowDxfId="12"/>
    <tableColumn id="11" name="Period 9" totalsRowFunction="sum" dataDxfId="11" totalsRowDxfId="10"/>
    <tableColumn id="12" name="Period 10" totalsRowFunction="sum" dataDxfId="9" totalsRowDxfId="8"/>
    <tableColumn id="13" name="Period 11" totalsRowFunction="sum" dataDxfId="7" totalsRowDxfId="6"/>
    <tableColumn id="14" name="Period 12" totalsRowFunction="sum" dataDxfId="5" totalsRowDxfId="4"/>
    <tableColumn id="18" name="Column3" dataDxfId="3" totalsRowDxfId="2"/>
    <tableColumn id="15" name="Total" totalsRowFunction="sum" totalsRowDxfId="1">
      <calculatedColumnFormula>SUM(Efectivopagado2[[#This Row],[Period 0]:[Period 12]])</calculatedColumnFormula>
    </tableColumn>
    <tableColumn id="16" name="Column1" totalsRowDxfId="0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Cash Paid Out (Non P&amp;L)" altTextSummary="Cash receipts (non P&amp;L) for 12 months starting with the first month of the fiscal year along with a calculated grand total."/>
    </ext>
  </extLst>
</table>
</file>

<file path=xl/theme/theme1.xml><?xml version="1.0" encoding="utf-8"?>
<a:theme xmlns:a="http://schemas.openxmlformats.org/drawingml/2006/main" name="Office Theme">
  <a:themeElements>
    <a:clrScheme name="Cash Flow Statement">
      <a:dk1>
        <a:sysClr val="windowText" lastClr="000000"/>
      </a:dk1>
      <a:lt1>
        <a:sysClr val="window" lastClr="FFFFFF"/>
      </a:lt1>
      <a:dk2>
        <a:srgbClr val="313F55"/>
      </a:dk2>
      <a:lt2>
        <a:srgbClr val="F2F2F2"/>
      </a:lt2>
      <a:accent1>
        <a:srgbClr val="308DA2"/>
      </a:accent1>
      <a:accent2>
        <a:srgbClr val="EB7A20"/>
      </a:accent2>
      <a:accent3>
        <a:srgbClr val="009D00"/>
      </a:accent3>
      <a:accent4>
        <a:srgbClr val="9D4CA4"/>
      </a:accent4>
      <a:accent5>
        <a:srgbClr val="FFC000"/>
      </a:accent5>
      <a:accent6>
        <a:srgbClr val="DC3220"/>
      </a:accent6>
      <a:hlink>
        <a:srgbClr val="1AA2B5"/>
      </a:hlink>
      <a:folHlink>
        <a:srgbClr val="9D4CA4"/>
      </a:folHlink>
    </a:clrScheme>
    <a:fontScheme name="Cash Flow Statemen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S48"/>
  <sheetViews>
    <sheetView showGridLines="0" tabSelected="1" zoomScaleNormal="100" workbookViewId="0">
      <pane ySplit="4" topLeftCell="A5" activePane="bottomLeft" state="frozen"/>
      <selection pane="bottomLeft"/>
    </sheetView>
  </sheetViews>
  <sheetFormatPr baseColWidth="10" defaultColWidth="9" defaultRowHeight="17.25" customHeight="1" x14ac:dyDescent="0.25"/>
  <cols>
    <col min="1" max="1" width="2.25" customWidth="1"/>
    <col min="2" max="2" width="34.75" customWidth="1"/>
    <col min="3" max="3" width="2.875" customWidth="1"/>
    <col min="4" max="4" width="9.375" customWidth="1"/>
    <col min="5" max="16" width="9.625" customWidth="1"/>
    <col min="17" max="17" width="2.875" customWidth="1"/>
  </cols>
  <sheetData>
    <row r="1" spans="2:19" ht="42" customHeight="1" thickBot="1" x14ac:dyDescent="0.5">
      <c r="B1" s="7" t="s">
        <v>36</v>
      </c>
      <c r="C1" s="8"/>
      <c r="D1" s="8"/>
      <c r="E1" s="9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2:19" ht="22.5" customHeight="1" thickTop="1" x14ac:dyDescent="0.25">
      <c r="Q2" s="36"/>
    </row>
    <row r="3" spans="2:19" ht="25.5" customHeight="1" x14ac:dyDescent="0.35">
      <c r="B3" s="49" t="s">
        <v>33</v>
      </c>
      <c r="D3" s="19" t="s">
        <v>37</v>
      </c>
      <c r="E3" s="47" t="str">
        <f>UPPER(TEXT(FechaDeInicioelañoFiscal,"mmm"))</f>
        <v>ENE</v>
      </c>
      <c r="F3" s="47" t="str">
        <f>UPPER(TEXT(EOMONTH(FechaDeInicioelañoFiscal,1),"mmm"))</f>
        <v>FEB</v>
      </c>
      <c r="G3" s="47" t="str">
        <f>UPPER(TEXT(EOMONTH(FechaDeInicioelañoFiscal,2),"mmm"))</f>
        <v>MAR</v>
      </c>
      <c r="H3" s="47" t="str">
        <f>UPPER(TEXT(EOMONTH(FechaDeInicioelañoFiscal,3),"mmm"))</f>
        <v>ABR</v>
      </c>
      <c r="I3" s="47" t="str">
        <f>UPPER(TEXT(EOMONTH(FechaDeInicioelañoFiscal,4),"mmm"))</f>
        <v>MAY</v>
      </c>
      <c r="J3" s="47" t="str">
        <f>UPPER(TEXT(EOMONTH(FechaDeInicioelañoFiscal,5),"mmm"))</f>
        <v>JUN</v>
      </c>
      <c r="K3" s="47" t="str">
        <f>UPPER(TEXT(EOMONTH(FechaDeInicioelañoFiscal,6),"mmm"))</f>
        <v>JUL</v>
      </c>
      <c r="L3" s="47" t="str">
        <f>UPPER(TEXT(EOMONTH(FechaDeInicioelañoFiscal,7),"mmm"))</f>
        <v>AGO</v>
      </c>
      <c r="M3" s="47" t="str">
        <f>UPPER(TEXT(EOMONTH(FechaDeInicioelañoFiscal,8),"mmm"))</f>
        <v>SEP</v>
      </c>
      <c r="N3" s="47" t="str">
        <f>UPPER(TEXT(EOMONTH(FechaDeInicioelañoFiscal,9),"mmm"))</f>
        <v>OCT</v>
      </c>
      <c r="O3" s="47" t="str">
        <f>UPPER(TEXT(EOMONTH(FechaDeInicioelañoFiscal,10),"mmm"))</f>
        <v>NOV</v>
      </c>
      <c r="P3" s="47" t="str">
        <f>UPPER(TEXT(EOMONTH(FechaDeInicioelañoFiscal,11),"mmm"))</f>
        <v>DIC</v>
      </c>
      <c r="Q3" s="26"/>
      <c r="R3" s="20" t="s">
        <v>28</v>
      </c>
      <c r="S3" s="2"/>
    </row>
    <row r="4" spans="2:19" ht="12.75" customHeight="1" thickBot="1" x14ac:dyDescent="0.3">
      <c r="B4" s="3">
        <v>40913</v>
      </c>
      <c r="D4" s="21" t="s">
        <v>34</v>
      </c>
      <c r="E4" s="42">
        <f>FechaDeInicioelañoFiscal</f>
        <v>40913</v>
      </c>
      <c r="F4" s="42">
        <f t="shared" ref="F4" si="0">EOMONTH(E4,0)+DAY(FechaDeInicioelañoFiscal)</f>
        <v>40944</v>
      </c>
      <c r="G4" s="42">
        <f t="shared" ref="G4" si="1">EOMONTH(F4,0)+DAY(FechaDeInicioelañoFiscal)</f>
        <v>40973</v>
      </c>
      <c r="H4" s="42">
        <f t="shared" ref="H4" si="2">EOMONTH(G4,0)+DAY(FechaDeInicioelañoFiscal)</f>
        <v>41004</v>
      </c>
      <c r="I4" s="42">
        <f t="shared" ref="I4" si="3">EOMONTH(H4,0)+DAY(FechaDeInicioelañoFiscal)</f>
        <v>41034</v>
      </c>
      <c r="J4" s="42">
        <f t="shared" ref="J4" si="4">EOMONTH(I4,0)+DAY(FechaDeInicioelañoFiscal)</f>
        <v>41065</v>
      </c>
      <c r="K4" s="42">
        <f t="shared" ref="K4" si="5">EOMONTH(J4,0)+DAY(FechaDeInicioelañoFiscal)</f>
        <v>41095</v>
      </c>
      <c r="L4" s="42">
        <f t="shared" ref="L4" si="6">EOMONTH(K4,0)+DAY(FechaDeInicioelañoFiscal)</f>
        <v>41126</v>
      </c>
      <c r="M4" s="42">
        <f t="shared" ref="M4" si="7">EOMONTH(L4,0)+DAY(FechaDeInicioelañoFiscal)</f>
        <v>41157</v>
      </c>
      <c r="N4" s="42">
        <f t="shared" ref="N4" si="8">EOMONTH(M4,0)+DAY(FechaDeInicioelañoFiscal)</f>
        <v>41187</v>
      </c>
      <c r="O4" s="42">
        <f t="shared" ref="O4" si="9">EOMONTH(N4,0)+DAY(FechaDeInicioelañoFiscal)</f>
        <v>41218</v>
      </c>
      <c r="P4" s="42">
        <f t="shared" ref="P4" si="10">EOMONTH(O4,0)+DAY(FechaDeInicioelañoFiscal)</f>
        <v>41248</v>
      </c>
      <c r="Q4" s="27"/>
      <c r="R4" s="19" t="s">
        <v>35</v>
      </c>
      <c r="S4" s="2"/>
    </row>
    <row r="5" spans="2:19" ht="17.25" customHeight="1" thickTop="1" x14ac:dyDescent="0.25">
      <c r="B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28"/>
      <c r="R5" s="6"/>
      <c r="S5" s="2"/>
    </row>
    <row r="6" spans="2:19" ht="17.25" customHeight="1" thickBot="1" x14ac:dyDescent="0.3">
      <c r="B6" s="45" t="s">
        <v>0</v>
      </c>
      <c r="D6" s="46">
        <v>100</v>
      </c>
      <c r="E6" s="46">
        <f>D48</f>
        <v>100</v>
      </c>
      <c r="F6" s="46">
        <f t="shared" ref="F6:P6" si="11">E48</f>
        <v>-125</v>
      </c>
      <c r="G6" s="46">
        <f t="shared" si="11"/>
        <v>45</v>
      </c>
      <c r="H6" s="46">
        <f t="shared" si="11"/>
        <v>-1</v>
      </c>
      <c r="I6" s="46">
        <f t="shared" si="11"/>
        <v>224</v>
      </c>
      <c r="J6" s="46">
        <f t="shared" si="11"/>
        <v>269</v>
      </c>
      <c r="K6" s="46">
        <f t="shared" si="11"/>
        <v>269</v>
      </c>
      <c r="L6" s="46">
        <f t="shared" si="11"/>
        <v>269</v>
      </c>
      <c r="M6" s="46">
        <f t="shared" si="11"/>
        <v>269</v>
      </c>
      <c r="N6" s="46">
        <f t="shared" si="11"/>
        <v>269</v>
      </c>
      <c r="O6" s="46">
        <f t="shared" si="11"/>
        <v>269</v>
      </c>
      <c r="P6" s="46">
        <f t="shared" si="11"/>
        <v>269</v>
      </c>
      <c r="Q6" s="29"/>
      <c r="R6" s="46">
        <f>P6</f>
        <v>269</v>
      </c>
      <c r="S6" s="41"/>
    </row>
    <row r="7" spans="2:19" ht="17.25" customHeight="1" x14ac:dyDescent="0.25">
      <c r="Q7" s="24"/>
    </row>
    <row r="8" spans="2:19" ht="17.25" customHeight="1" x14ac:dyDescent="0.25">
      <c r="B8" s="37" t="s">
        <v>29</v>
      </c>
      <c r="Q8" s="24"/>
    </row>
    <row r="9" spans="2:19" ht="17.25" customHeight="1" x14ac:dyDescent="0.25">
      <c r="B9" s="52" t="s">
        <v>1</v>
      </c>
      <c r="C9" s="24"/>
      <c r="D9" s="50"/>
      <c r="E9" s="50">
        <v>125</v>
      </c>
      <c r="F9" s="50">
        <v>120</v>
      </c>
      <c r="G9" s="50">
        <v>130</v>
      </c>
      <c r="H9" s="50">
        <v>100</v>
      </c>
      <c r="I9" s="50"/>
      <c r="J9" s="50"/>
      <c r="K9" s="50"/>
      <c r="L9" s="50"/>
      <c r="M9" s="50"/>
      <c r="N9" s="50"/>
      <c r="O9" s="50"/>
      <c r="P9" s="50"/>
      <c r="Q9" s="30"/>
      <c r="R9" s="10">
        <f>SUM(Recibosdeefectivo[[#This Row],[Period 0]:[Period 12]])</f>
        <v>475</v>
      </c>
    </row>
    <row r="10" spans="2:19" ht="17.25" customHeight="1" x14ac:dyDescent="0.25">
      <c r="B10" s="52" t="s">
        <v>2</v>
      </c>
      <c r="C10" s="24"/>
      <c r="D10" s="50"/>
      <c r="E10" s="50"/>
      <c r="F10" s="50"/>
      <c r="G10" s="50"/>
      <c r="H10" s="50">
        <v>75</v>
      </c>
      <c r="I10" s="50">
        <v>45</v>
      </c>
      <c r="J10" s="50"/>
      <c r="K10" s="50"/>
      <c r="L10" s="50"/>
      <c r="M10" s="50"/>
      <c r="N10" s="50"/>
      <c r="O10" s="50"/>
      <c r="P10" s="50"/>
      <c r="Q10" s="30"/>
      <c r="R10" s="10">
        <f>SUM(Recibosdeefectivo[[#This Row],[Period 0]:[Period 12]])</f>
        <v>120</v>
      </c>
    </row>
    <row r="11" spans="2:19" ht="17.25" customHeight="1" x14ac:dyDescent="0.25">
      <c r="B11" s="52" t="s">
        <v>3</v>
      </c>
      <c r="C11" s="25"/>
      <c r="D11" s="50"/>
      <c r="E11" s="50">
        <v>50</v>
      </c>
      <c r="F11" s="50">
        <v>50</v>
      </c>
      <c r="G11" s="50">
        <v>50</v>
      </c>
      <c r="H11" s="50">
        <v>50</v>
      </c>
      <c r="I11" s="50"/>
      <c r="J11" s="50"/>
      <c r="K11" s="50"/>
      <c r="L11" s="50"/>
      <c r="M11" s="50"/>
      <c r="N11" s="50"/>
      <c r="O11" s="50"/>
      <c r="P11" s="50"/>
      <c r="Q11" s="30"/>
      <c r="R11" s="10">
        <f>SUM(Recibosdeefectivo[[#This Row],[Period 0]:[Period 12]])</f>
        <v>200</v>
      </c>
    </row>
    <row r="12" spans="2:19" ht="17.25" customHeight="1" thickBot="1" x14ac:dyDescent="0.3">
      <c r="B12" s="44" t="s">
        <v>28</v>
      </c>
      <c r="C12" s="23"/>
      <c r="D12" s="10">
        <f>SUBTOTAL(109,Recibosdeefectivo[Period 0])</f>
        <v>0</v>
      </c>
      <c r="E12" s="10">
        <f>SUBTOTAL(109,Recibosdeefectivo[Period 1])</f>
        <v>175</v>
      </c>
      <c r="F12" s="10">
        <f>SUBTOTAL(109,Recibosdeefectivo[Period 2])</f>
        <v>170</v>
      </c>
      <c r="G12" s="10">
        <f>SUBTOTAL(109,Recibosdeefectivo[Period 3])</f>
        <v>180</v>
      </c>
      <c r="H12" s="10">
        <f>SUBTOTAL(109,Recibosdeefectivo[Period 4])</f>
        <v>225</v>
      </c>
      <c r="I12" s="10">
        <f>SUBTOTAL(109,Recibosdeefectivo[Period 5])</f>
        <v>45</v>
      </c>
      <c r="J12" s="10">
        <f>SUBTOTAL(109,Recibosdeefectivo[Period 6])</f>
        <v>0</v>
      </c>
      <c r="K12" s="10">
        <f>SUBTOTAL(109,Recibosdeefectivo[Period 7])</f>
        <v>0</v>
      </c>
      <c r="L12" s="10">
        <f>SUBTOTAL(109,Recibosdeefectivo[Period 8])</f>
        <v>0</v>
      </c>
      <c r="M12" s="10">
        <f>SUBTOTAL(109,Recibosdeefectivo[Period 9])</f>
        <v>0</v>
      </c>
      <c r="N12" s="10">
        <f>SUBTOTAL(109,Recibosdeefectivo[Period 10])</f>
        <v>0</v>
      </c>
      <c r="O12" s="10">
        <f>SUBTOTAL(109,Recibosdeefectivo[Period 11])</f>
        <v>0</v>
      </c>
      <c r="P12" s="10">
        <f>SUBTOTAL(109,Recibosdeefectivo[Period 12])</f>
        <v>0</v>
      </c>
      <c r="Q12" s="30"/>
      <c r="R12" s="10">
        <f>SUBTOTAL(109,Recibosdeefectivo[Total])</f>
        <v>795</v>
      </c>
    </row>
    <row r="13" spans="2:19" ht="17.25" customHeight="1" thickTop="1" thickBot="1" x14ac:dyDescent="0.3">
      <c r="B13" s="48" t="s">
        <v>4</v>
      </c>
      <c r="C13" s="22"/>
      <c r="D13" s="39">
        <f>D6+SUM(Recibosdeefectivo[Period 0])</f>
        <v>100</v>
      </c>
      <c r="E13" s="39">
        <f>E6+SUM(Recibosdeefectivo[Period 1])</f>
        <v>275</v>
      </c>
      <c r="F13" s="39">
        <f>F6+SUM(Recibosdeefectivo[Period 2])</f>
        <v>45</v>
      </c>
      <c r="G13" s="39">
        <f>G6+SUM(Recibosdeefectivo[Period 3])</f>
        <v>225</v>
      </c>
      <c r="H13" s="39">
        <f>H6+SUM(Recibosdeefectivo[Period 4])</f>
        <v>224</v>
      </c>
      <c r="I13" s="39">
        <f>I6+SUM(Recibosdeefectivo[Period 5])</f>
        <v>269</v>
      </c>
      <c r="J13" s="39">
        <f>J6+SUM(Recibosdeefectivo[Period 6])</f>
        <v>269</v>
      </c>
      <c r="K13" s="39">
        <f>K6+SUM(Recibosdeefectivo[Period 7])</f>
        <v>269</v>
      </c>
      <c r="L13" s="39">
        <f>L6+SUM(Recibosdeefectivo[Period 8])</f>
        <v>269</v>
      </c>
      <c r="M13" s="39">
        <f>M6+SUM(Recibosdeefectivo[Period 9])</f>
        <v>269</v>
      </c>
      <c r="N13" s="39">
        <f>N6+SUM(Recibosdeefectivo[Period 10])</f>
        <v>269</v>
      </c>
      <c r="O13" s="39">
        <f>O6+SUM(Recibosdeefectivo[Period 11])</f>
        <v>269</v>
      </c>
      <c r="P13" s="39">
        <f>P6+SUM(Recibosdeefectivo[Period 12])</f>
        <v>269</v>
      </c>
      <c r="Q13" s="31"/>
      <c r="R13" s="39">
        <f>R6+SUM(Recibosdeefectivo[Total])</f>
        <v>1064</v>
      </c>
      <c r="S13" s="40"/>
    </row>
    <row r="14" spans="2:19" ht="17.25" customHeight="1" x14ac:dyDescent="0.25"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</row>
    <row r="15" spans="2:19" ht="17.25" customHeight="1" x14ac:dyDescent="0.3">
      <c r="B15" s="11" t="s">
        <v>30</v>
      </c>
      <c r="C15" s="24"/>
      <c r="Q15" s="24"/>
    </row>
    <row r="16" spans="2:19" ht="17.25" customHeight="1" x14ac:dyDescent="0.25">
      <c r="B16" s="53" t="s">
        <v>5</v>
      </c>
      <c r="C16" s="24"/>
      <c r="D16" s="51"/>
      <c r="E16" s="51">
        <v>400</v>
      </c>
      <c r="F16" s="51"/>
      <c r="G16" s="51">
        <v>226</v>
      </c>
      <c r="H16" s="51"/>
      <c r="I16" s="51"/>
      <c r="J16" s="51"/>
      <c r="K16" s="51"/>
      <c r="L16" s="51"/>
      <c r="M16" s="51"/>
      <c r="N16" s="51"/>
      <c r="O16" s="51"/>
      <c r="P16" s="51"/>
      <c r="Q16" s="32"/>
      <c r="R16" s="12">
        <f>SUM(Efectivopagado[[#This Row],[Period 0]:[Period 12]])</f>
        <v>626</v>
      </c>
      <c r="S16" s="1"/>
    </row>
    <row r="17" spans="2:19" ht="17.25" customHeight="1" x14ac:dyDescent="0.25">
      <c r="B17" s="53" t="s">
        <v>6</v>
      </c>
      <c r="C17" s="24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32"/>
      <c r="R17" s="12">
        <f>SUM(Efectivopagado[[#This Row],[Period 0]:[Period 12]])</f>
        <v>0</v>
      </c>
      <c r="S17" s="1"/>
    </row>
    <row r="18" spans="2:19" ht="17.25" customHeight="1" x14ac:dyDescent="0.25">
      <c r="B18" s="53" t="s">
        <v>6</v>
      </c>
      <c r="C18" s="24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32"/>
      <c r="R18" s="12">
        <f>SUM(Efectivopagado[[#This Row],[Period 0]:[Period 12]])</f>
        <v>0</v>
      </c>
      <c r="S18" s="1"/>
    </row>
    <row r="19" spans="2:19" ht="17.25" customHeight="1" x14ac:dyDescent="0.25">
      <c r="B19" s="53" t="s">
        <v>7</v>
      </c>
      <c r="C19" s="24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32"/>
      <c r="R19" s="12">
        <f>SUM(Efectivopagado[[#This Row],[Period 0]:[Period 12]])</f>
        <v>0</v>
      </c>
      <c r="S19" s="1"/>
    </row>
    <row r="20" spans="2:19" ht="17.25" customHeight="1" x14ac:dyDescent="0.25">
      <c r="B20" s="53" t="s">
        <v>8</v>
      </c>
      <c r="C20" s="24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32"/>
      <c r="R20" s="12">
        <f>SUM(Efectivopagado[[#This Row],[Period 0]:[Period 12]])</f>
        <v>0</v>
      </c>
      <c r="S20" s="1"/>
    </row>
    <row r="21" spans="2:19" ht="17.25" customHeight="1" x14ac:dyDescent="0.25">
      <c r="B21" s="53" t="s">
        <v>9</v>
      </c>
      <c r="C21" s="24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32"/>
      <c r="R21" s="12">
        <f>SUM(Efectivopagado[[#This Row],[Period 0]:[Period 12]])</f>
        <v>0</v>
      </c>
      <c r="S21" s="1"/>
    </row>
    <row r="22" spans="2:19" ht="17.25" customHeight="1" x14ac:dyDescent="0.25">
      <c r="B22" s="53" t="s">
        <v>10</v>
      </c>
      <c r="C22" s="24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32"/>
      <c r="R22" s="12">
        <f>SUM(Efectivopagado[[#This Row],[Period 0]:[Period 12]])</f>
        <v>0</v>
      </c>
      <c r="S22" s="1"/>
    </row>
    <row r="23" spans="2:19" ht="17.25" customHeight="1" x14ac:dyDescent="0.25">
      <c r="B23" s="53" t="s">
        <v>11</v>
      </c>
      <c r="C23" s="24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32"/>
      <c r="R23" s="12">
        <f>SUM(Efectivopagado[[#This Row],[Period 0]:[Period 12]])</f>
        <v>0</v>
      </c>
      <c r="S23" s="1"/>
    </row>
    <row r="24" spans="2:19" ht="17.25" customHeight="1" x14ac:dyDescent="0.25">
      <c r="B24" s="53" t="s">
        <v>12</v>
      </c>
      <c r="C24" s="24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32"/>
      <c r="R24" s="12">
        <f>SUM(Efectivopagado[[#This Row],[Period 0]:[Period 12]])</f>
        <v>0</v>
      </c>
      <c r="S24" s="1"/>
    </row>
    <row r="25" spans="2:19" ht="17.25" customHeight="1" x14ac:dyDescent="0.25">
      <c r="B25" s="53" t="s">
        <v>13</v>
      </c>
      <c r="C25" s="24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32"/>
      <c r="R25" s="12">
        <f>SUM(Efectivopagado[[#This Row],[Period 0]:[Period 12]])</f>
        <v>0</v>
      </c>
      <c r="S25" s="1"/>
    </row>
    <row r="26" spans="2:19" ht="17.25" customHeight="1" x14ac:dyDescent="0.25">
      <c r="B26" s="53" t="s">
        <v>14</v>
      </c>
      <c r="C26" s="24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32"/>
      <c r="R26" s="12">
        <f>SUM(Efectivopagado[[#This Row],[Period 0]:[Period 12]])</f>
        <v>0</v>
      </c>
      <c r="S26" s="1"/>
    </row>
    <row r="27" spans="2:19" ht="17.25" customHeight="1" x14ac:dyDescent="0.25">
      <c r="B27" s="53" t="s">
        <v>15</v>
      </c>
      <c r="C27" s="24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32"/>
      <c r="R27" s="12">
        <f>SUM(Efectivopagado[[#This Row],[Period 0]:[Period 12]])</f>
        <v>0</v>
      </c>
      <c r="S27" s="1"/>
    </row>
    <row r="28" spans="2:19" ht="17.25" customHeight="1" x14ac:dyDescent="0.25">
      <c r="B28" s="53" t="s">
        <v>16</v>
      </c>
      <c r="C28" s="24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32"/>
      <c r="R28" s="12">
        <f>SUM(Efectivopagado[[#This Row],[Period 0]:[Period 12]])</f>
        <v>0</v>
      </c>
      <c r="S28" s="1"/>
    </row>
    <row r="29" spans="2:19" ht="17.25" customHeight="1" x14ac:dyDescent="0.25">
      <c r="B29" s="53" t="s">
        <v>17</v>
      </c>
      <c r="C29" s="24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32"/>
      <c r="R29" s="12">
        <f>SUM(Efectivopagado[[#This Row],[Period 0]:[Period 12]])</f>
        <v>0</v>
      </c>
      <c r="S29" s="1"/>
    </row>
    <row r="30" spans="2:19" ht="17.25" customHeight="1" x14ac:dyDescent="0.25">
      <c r="B30" s="53" t="s">
        <v>18</v>
      </c>
      <c r="C30" s="24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32"/>
      <c r="R30" s="12">
        <f>SUM(Efectivopagado[[#This Row],[Period 0]:[Period 12]])</f>
        <v>0</v>
      </c>
      <c r="S30" s="1"/>
    </row>
    <row r="31" spans="2:19" ht="17.25" customHeight="1" x14ac:dyDescent="0.25">
      <c r="B31" s="53" t="s">
        <v>19</v>
      </c>
      <c r="C31" s="24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32"/>
      <c r="R31" s="12">
        <f>SUM(Efectivopagado[[#This Row],[Period 0]:[Period 12]])</f>
        <v>0</v>
      </c>
      <c r="S31" s="1"/>
    </row>
    <row r="32" spans="2:19" ht="17.25" customHeight="1" x14ac:dyDescent="0.25">
      <c r="B32" s="53" t="s">
        <v>20</v>
      </c>
      <c r="C32" s="24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32"/>
      <c r="R32" s="12">
        <f>SUM(Efectivopagado[[#This Row],[Period 0]:[Period 12]])</f>
        <v>0</v>
      </c>
      <c r="S32" s="1"/>
    </row>
    <row r="33" spans="2:19" ht="17.25" customHeight="1" x14ac:dyDescent="0.25">
      <c r="B33" s="53" t="s">
        <v>21</v>
      </c>
      <c r="C33" s="24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32"/>
      <c r="R33" s="12">
        <f>SUM(Efectivopagado[[#This Row],[Period 0]:[Period 12]])</f>
        <v>0</v>
      </c>
      <c r="S33" s="1"/>
    </row>
    <row r="34" spans="2:19" ht="17.25" customHeight="1" x14ac:dyDescent="0.25">
      <c r="B34" s="53" t="s">
        <v>22</v>
      </c>
      <c r="C34" s="24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32"/>
      <c r="R34" s="12">
        <f>SUM(Efectivopagado[[#This Row],[Period 0]:[Period 12]])</f>
        <v>0</v>
      </c>
      <c r="S34" s="1"/>
    </row>
    <row r="35" spans="2:19" ht="17.25" customHeight="1" x14ac:dyDescent="0.25">
      <c r="B35" s="53" t="s">
        <v>22</v>
      </c>
      <c r="C35" s="24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32"/>
      <c r="R35" s="12">
        <f>SUM(Efectivopagado[[#This Row],[Period 0]:[Period 12]])</f>
        <v>0</v>
      </c>
      <c r="S35" s="1"/>
    </row>
    <row r="36" spans="2:19" ht="17.25" customHeight="1" x14ac:dyDescent="0.25">
      <c r="B36" s="53" t="s">
        <v>23</v>
      </c>
      <c r="C36" s="24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32"/>
      <c r="R36" s="12">
        <f>SUM(Efectivopagado[[#This Row],[Period 0]:[Period 12]])</f>
        <v>0</v>
      </c>
      <c r="S36" s="1"/>
    </row>
    <row r="37" spans="2:19" ht="17.25" customHeight="1" x14ac:dyDescent="0.25">
      <c r="B37" s="13" t="s">
        <v>28</v>
      </c>
      <c r="C37" s="24"/>
      <c r="D37" s="18">
        <f>SUBTOTAL(109,Efectivopagado[Period 0])</f>
        <v>0</v>
      </c>
      <c r="E37" s="18">
        <f>SUBTOTAL(109,Efectivopagado[Period 1])</f>
        <v>400</v>
      </c>
      <c r="F37" s="18">
        <f>SUBTOTAL(109,Efectivopagado[Period 2])</f>
        <v>0</v>
      </c>
      <c r="G37" s="18">
        <f>SUBTOTAL(109,Efectivopagado[Period 3])</f>
        <v>226</v>
      </c>
      <c r="H37" s="18">
        <f>SUBTOTAL(109,Efectivopagado[Period 4])</f>
        <v>0</v>
      </c>
      <c r="I37" s="18">
        <f>SUBTOTAL(109,Efectivopagado[Period 5])</f>
        <v>0</v>
      </c>
      <c r="J37" s="18">
        <f>SUBTOTAL(109,Efectivopagado[Period 6])</f>
        <v>0</v>
      </c>
      <c r="K37" s="18">
        <f>SUBTOTAL(109,Efectivopagado[Period 7])</f>
        <v>0</v>
      </c>
      <c r="L37" s="18">
        <f>SUBTOTAL(109,Efectivopagado[Period 8])</f>
        <v>0</v>
      </c>
      <c r="M37" s="18">
        <f>SUBTOTAL(109,Efectivopagado[Period 9])</f>
        <v>0</v>
      </c>
      <c r="N37" s="18">
        <f>SUBTOTAL(109,Efectivopagado[Period 10])</f>
        <v>0</v>
      </c>
      <c r="O37" s="18">
        <f>SUBTOTAL(109,Efectivopagado[Period 11])</f>
        <v>0</v>
      </c>
      <c r="P37" s="18">
        <f>SUBTOTAL(109,Efectivopagado[Period 12])</f>
        <v>0</v>
      </c>
      <c r="Q37" s="33"/>
      <c r="R37" s="18">
        <f>SUBTOTAL(109,Efectivopagado[Total])</f>
        <v>626</v>
      </c>
      <c r="S37" s="16"/>
    </row>
    <row r="38" spans="2:19" ht="17.25" customHeight="1" x14ac:dyDescent="0.25"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</row>
    <row r="39" spans="2:19" s="17" customFormat="1" ht="17.25" customHeight="1" x14ac:dyDescent="0.3">
      <c r="B39" s="11" t="s">
        <v>31</v>
      </c>
      <c r="C39" s="22"/>
      <c r="D39"/>
      <c r="E39"/>
      <c r="F39"/>
      <c r="G39"/>
      <c r="H39"/>
      <c r="I39"/>
      <c r="J39"/>
      <c r="K39"/>
      <c r="L39"/>
      <c r="M39"/>
      <c r="N39"/>
      <c r="O39"/>
      <c r="P39"/>
      <c r="Q39" s="24"/>
      <c r="R39"/>
      <c r="S39"/>
    </row>
    <row r="40" spans="2:19" ht="17.25" customHeight="1" x14ac:dyDescent="0.25">
      <c r="B40" s="53" t="s">
        <v>24</v>
      </c>
      <c r="C40" s="24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34"/>
      <c r="R40" s="12">
        <f>SUM(Efectivopagado2[[#This Row],[Period 0]:[Period 12]])</f>
        <v>0</v>
      </c>
      <c r="S40" s="1"/>
    </row>
    <row r="41" spans="2:19" ht="17.25" customHeight="1" x14ac:dyDescent="0.25">
      <c r="B41" s="53" t="s">
        <v>25</v>
      </c>
      <c r="C41" s="24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34"/>
      <c r="R41" s="12">
        <f>SUM(Efectivopagado2[[#This Row],[Period 0]:[Period 12]])</f>
        <v>0</v>
      </c>
      <c r="S41" s="1"/>
    </row>
    <row r="42" spans="2:19" ht="17.25" customHeight="1" x14ac:dyDescent="0.25">
      <c r="B42" s="53" t="s">
        <v>26</v>
      </c>
      <c r="C42" s="24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34"/>
      <c r="R42" s="12">
        <f>SUM(Efectivopagado2[[#This Row],[Period 0]:[Period 12]])</f>
        <v>0</v>
      </c>
      <c r="S42" s="1"/>
    </row>
    <row r="43" spans="2:19" ht="17.25" customHeight="1" x14ac:dyDescent="0.25">
      <c r="B43" s="53" t="s">
        <v>38</v>
      </c>
      <c r="C43" s="24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34"/>
      <c r="R43" s="12">
        <f>SUM(Efectivopagado2[[#This Row],[Period 0]:[Period 12]])</f>
        <v>0</v>
      </c>
      <c r="S43" s="1"/>
    </row>
    <row r="44" spans="2:19" ht="17.25" customHeight="1" x14ac:dyDescent="0.25">
      <c r="B44" s="53" t="s">
        <v>39</v>
      </c>
      <c r="C44" s="24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34"/>
      <c r="R44" s="12">
        <f>SUM(Efectivopagado2[[#This Row],[Period 0]:[Period 12]])</f>
        <v>0</v>
      </c>
      <c r="S44" s="1"/>
    </row>
    <row r="45" spans="2:19" ht="17.25" customHeight="1" x14ac:dyDescent="0.25">
      <c r="B45" s="13" t="s">
        <v>28</v>
      </c>
      <c r="C45" s="24"/>
      <c r="D45" s="18">
        <f>SUBTOTAL(109,Efectivopagado2[Period 0])</f>
        <v>0</v>
      </c>
      <c r="E45" s="18">
        <f>SUBTOTAL(109,Efectivopagado2[Period 1])</f>
        <v>0</v>
      </c>
      <c r="F45" s="18">
        <f>SUBTOTAL(109,Efectivopagado2[Period 2])</f>
        <v>0</v>
      </c>
      <c r="G45" s="18">
        <f>SUBTOTAL(109,Efectivopagado2[Period 3])</f>
        <v>0</v>
      </c>
      <c r="H45" s="18">
        <f>SUBTOTAL(109,Efectivopagado2[Period 4])</f>
        <v>0</v>
      </c>
      <c r="I45" s="18">
        <f>SUBTOTAL(109,Efectivopagado2[Period 5])</f>
        <v>0</v>
      </c>
      <c r="J45" s="18">
        <f>SUBTOTAL(109,Efectivopagado2[Period 6])</f>
        <v>0</v>
      </c>
      <c r="K45" s="18">
        <f>SUBTOTAL(109,Efectivopagado2[Period 7])</f>
        <v>0</v>
      </c>
      <c r="L45" s="18">
        <f>SUBTOTAL(109,Efectivopagado2[Period 8])</f>
        <v>0</v>
      </c>
      <c r="M45" s="18">
        <f>SUBTOTAL(109,Efectivopagado2[Period 9])</f>
        <v>0</v>
      </c>
      <c r="N45" s="18">
        <f>SUBTOTAL(109,Efectivopagado2[Period 10])</f>
        <v>0</v>
      </c>
      <c r="O45" s="18">
        <f>SUBTOTAL(109,Efectivopagado2[Period 11])</f>
        <v>0</v>
      </c>
      <c r="P45" s="18">
        <f>SUBTOTAL(109,Efectivopagado2[Period 12])</f>
        <v>0</v>
      </c>
      <c r="Q45" s="35"/>
      <c r="R45" s="18">
        <f>SUBTOTAL(109,Efectivopagado2[Total])</f>
        <v>0</v>
      </c>
      <c r="S45" s="14"/>
    </row>
    <row r="46" spans="2:19" ht="17.25" customHeight="1" thickBot="1" x14ac:dyDescent="0.35">
      <c r="B46" s="48" t="s">
        <v>32</v>
      </c>
      <c r="C46" s="22"/>
      <c r="D46" s="39">
        <f>SUM(Efectivopagado[Period 0],Efectivopagado2[Period 0])</f>
        <v>0</v>
      </c>
      <c r="E46" s="39">
        <f>SUM(Efectivopagado[Period 1],Efectivopagado2[Period 1])</f>
        <v>400</v>
      </c>
      <c r="F46" s="39">
        <f>SUM(Efectivopagado[Period 2],Efectivopagado2[Period 2])</f>
        <v>0</v>
      </c>
      <c r="G46" s="39">
        <f>SUM(Efectivopagado[Period 3],Efectivopagado2[Period 3])</f>
        <v>226</v>
      </c>
      <c r="H46" s="39">
        <f>SUM(Efectivopagado[Period 4],Efectivopagado2[Period 4])</f>
        <v>0</v>
      </c>
      <c r="I46" s="39">
        <f>SUM(Efectivopagado[Period 5],Efectivopagado2[Period 5])</f>
        <v>0</v>
      </c>
      <c r="J46" s="39">
        <f>SUM(Efectivopagado[Period 6],Efectivopagado2[Period 6])</f>
        <v>0</v>
      </c>
      <c r="K46" s="39">
        <f>SUM(Efectivopagado[Period 7],Efectivopagado2[Period 7])</f>
        <v>0</v>
      </c>
      <c r="L46" s="39">
        <f>SUM(Efectivopagado[Period 8],Efectivopagado2[Period 8])</f>
        <v>0</v>
      </c>
      <c r="M46" s="39">
        <f>SUM(Efectivopagado[Period 9],Efectivopagado2[Period 9])</f>
        <v>0</v>
      </c>
      <c r="N46" s="39">
        <f>SUM(Efectivopagado[Period 10],Efectivopagado2[Period 10])</f>
        <v>0</v>
      </c>
      <c r="O46" s="39">
        <f>SUM(Efectivopagado[Period 11],Efectivopagado2[Period 11])</f>
        <v>0</v>
      </c>
      <c r="P46" s="43">
        <f>SUM(Efectivopagado[Period 12],Efectivopagado2[Period 12])</f>
        <v>0</v>
      </c>
      <c r="Q46" s="22"/>
      <c r="R46" s="39">
        <f>SUM(Efectivopagado[Total],Efectivopagado2[Total])</f>
        <v>626</v>
      </c>
      <c r="S46" s="38"/>
    </row>
    <row r="47" spans="2:19" s="15" customFormat="1" ht="17.25" customHeight="1" x14ac:dyDescent="0.25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</row>
    <row r="48" spans="2:19" ht="17.25" customHeight="1" thickBot="1" x14ac:dyDescent="0.35">
      <c r="B48" s="48" t="s">
        <v>27</v>
      </c>
      <c r="C48" s="22"/>
      <c r="D48" s="39">
        <f t="shared" ref="D48:P48" si="12">D13-D46</f>
        <v>100</v>
      </c>
      <c r="E48" s="39">
        <f t="shared" si="12"/>
        <v>-125</v>
      </c>
      <c r="F48" s="39">
        <f t="shared" si="12"/>
        <v>45</v>
      </c>
      <c r="G48" s="39">
        <f t="shared" si="12"/>
        <v>-1</v>
      </c>
      <c r="H48" s="39">
        <f t="shared" si="12"/>
        <v>224</v>
      </c>
      <c r="I48" s="39">
        <f t="shared" si="12"/>
        <v>269</v>
      </c>
      <c r="J48" s="39">
        <f t="shared" si="12"/>
        <v>269</v>
      </c>
      <c r="K48" s="39">
        <f t="shared" si="12"/>
        <v>269</v>
      </c>
      <c r="L48" s="39">
        <f t="shared" si="12"/>
        <v>269</v>
      </c>
      <c r="M48" s="39">
        <f t="shared" si="12"/>
        <v>269</v>
      </c>
      <c r="N48" s="39">
        <f t="shared" si="12"/>
        <v>269</v>
      </c>
      <c r="O48" s="39">
        <f t="shared" si="12"/>
        <v>269</v>
      </c>
      <c r="P48" s="43">
        <f t="shared" si="12"/>
        <v>269</v>
      </c>
      <c r="Q48" s="22"/>
      <c r="R48" s="39">
        <f>R13-R46</f>
        <v>438</v>
      </c>
      <c r="S48" s="38"/>
    </row>
  </sheetData>
  <mergeCells count="3">
    <mergeCell ref="B14:S14"/>
    <mergeCell ref="B38:S38"/>
    <mergeCell ref="B47:S47"/>
  </mergeCells>
  <conditionalFormatting sqref="E6:P6">
    <cfRule type="expression" dxfId="111" priority="3">
      <formula>E6&lt;0</formula>
    </cfRule>
  </conditionalFormatting>
  <conditionalFormatting sqref="E48:P48">
    <cfRule type="expression" dxfId="110" priority="2">
      <formula>E48&lt;0</formula>
    </cfRule>
  </conditionalFormatting>
  <conditionalFormatting sqref="E13:P13">
    <cfRule type="expression" dxfId="109" priority="1">
      <formula>E13&lt;0</formula>
    </cfRule>
  </conditionalFormatting>
  <printOptions horizontalCentered="1" verticalCentered="1"/>
  <pageMargins left="0.5" right="0.5" top="0.5" bottom="0.5" header="0.3" footer="0.3"/>
  <pageSetup scale="62" orientation="landscape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2A825BFE-E693-4238-8389-5BCCFE76FDD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E6:R6</xm:sqref>
        </x14:conditionalFormatting>
        <x14:conditionalFormatting xmlns:xm="http://schemas.microsoft.com/office/excel/2006/main">
          <x14:cfRule type="iconSet" priority="10" id="{3C1E0335-68B6-4E32-9520-0CC0127E0E62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D13:R13</xm:sqref>
        </x14:conditionalFormatting>
        <x14:conditionalFormatting xmlns:xm="http://schemas.microsoft.com/office/excel/2006/main">
          <x14:cfRule type="iconSet" priority="11" id="{46DB4F99-6858-4D3F-B689-77C99193522A}">
            <x14:iconSet iconSet="3Flags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D48:P48 R48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>
          <x14:colorSeries theme="0" tint="-0.34998626667073579"/>
          <x14:colorNegative theme="9"/>
          <x14:colorAxis rgb="FF000000"/>
          <x14:colorMarkers theme="9"/>
          <x14:colorFirst theme="4"/>
          <x14:colorLast theme="5"/>
          <x14:colorHigh theme="6"/>
          <x14:colorLow theme="7"/>
          <x14:sparklines>
            <x14:sparkline>
              <xm:f>'Balance del flujo de caja'!D48:P48</xm:f>
              <xm:sqref>S48</xm:sqref>
            </x14:sparkline>
            <x14:sparkline>
              <xm:f>'Balance del flujo de caja'!D13:P13</xm:f>
              <xm:sqref>S13</xm:sqref>
            </x14:sparkline>
            <x14:sparkline>
              <xm:f>'Balance del flujo de caja'!D45:P45</xm:f>
              <xm:sqref>S45</xm:sqref>
            </x14:sparkline>
            <x14:sparkline>
              <xm:f>'Balance del flujo de caja'!D46:P46</xm:f>
              <xm:sqref>S46</xm:sqref>
            </x14:sparkline>
            <x14:sparkline>
              <xm:f>'Balance del flujo de caja'!D37:P37</xm:f>
              <xm:sqref>S37</xm:sqref>
            </x14:sparkline>
            <x14:sparkline>
              <xm:f>'Balance del flujo de caja'!D6:P6</xm:f>
              <xm:sqref>S6</xm:sqref>
            </x14:sparkline>
            <x14:sparkline>
              <xm:f>'Balance del flujo de caja'!D12:P12</xm:f>
              <xm:sqref>S12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2958f784-0ef9-4616-b22d-512a8cad1f0d" xsi:nil="true"/>
    <AssetExpire xmlns="2958f784-0ef9-4616-b22d-512a8cad1f0d">2029-01-01T08:00:00+00:00</AssetExpire>
    <CampaignTagsTaxHTField0 xmlns="2958f784-0ef9-4616-b22d-512a8cad1f0d">
      <Terms xmlns="http://schemas.microsoft.com/office/infopath/2007/PartnerControls"/>
    </CampaignTagsTaxHTField0>
    <IntlLangReviewDate xmlns="2958f784-0ef9-4616-b22d-512a8cad1f0d" xsi:nil="true"/>
    <TPFriendlyName xmlns="2958f784-0ef9-4616-b22d-512a8cad1f0d" xsi:nil="true"/>
    <IntlLangReview xmlns="2958f784-0ef9-4616-b22d-512a8cad1f0d">false</IntlLangReview>
    <LocLastLocAttemptVersionLookup xmlns="2958f784-0ef9-4616-b22d-512a8cad1f0d">848662</LocLastLocAttemptVersionLookup>
    <PolicheckWords xmlns="2958f784-0ef9-4616-b22d-512a8cad1f0d" xsi:nil="true"/>
    <SubmitterId xmlns="2958f784-0ef9-4616-b22d-512a8cad1f0d" xsi:nil="true"/>
    <AcquiredFrom xmlns="2958f784-0ef9-4616-b22d-512a8cad1f0d">Internal MS</AcquiredFrom>
    <EditorialStatus xmlns="2958f784-0ef9-4616-b22d-512a8cad1f0d">Complete</EditorialStatus>
    <Markets xmlns="2958f784-0ef9-4616-b22d-512a8cad1f0d"/>
    <OriginAsset xmlns="2958f784-0ef9-4616-b22d-512a8cad1f0d" xsi:nil="true"/>
    <AssetStart xmlns="2958f784-0ef9-4616-b22d-512a8cad1f0d">2012-07-27T02:37:00+00:00</AssetStart>
    <FriendlyTitle xmlns="2958f784-0ef9-4616-b22d-512a8cad1f0d" xsi:nil="true"/>
    <MarketSpecific xmlns="2958f784-0ef9-4616-b22d-512a8cad1f0d">false</MarketSpecific>
    <TPNamespace xmlns="2958f784-0ef9-4616-b22d-512a8cad1f0d" xsi:nil="true"/>
    <PublishStatusLookup xmlns="2958f784-0ef9-4616-b22d-512a8cad1f0d">
      <Value>671707</Value>
    </PublishStatusLookup>
    <APAuthor xmlns="2958f784-0ef9-4616-b22d-512a8cad1f0d">
      <UserInfo>
        <DisplayName>REDMOND\v-sa</DisplayName>
        <AccountId>2467</AccountId>
        <AccountType/>
      </UserInfo>
    </APAuthor>
    <TPCommandLine xmlns="2958f784-0ef9-4616-b22d-512a8cad1f0d" xsi:nil="true"/>
    <IntlLangReviewer xmlns="2958f784-0ef9-4616-b22d-512a8cad1f0d" xsi:nil="true"/>
    <OpenTemplate xmlns="2958f784-0ef9-4616-b22d-512a8cad1f0d">true</OpenTemplate>
    <CSXSubmissionDate xmlns="2958f784-0ef9-4616-b22d-512a8cad1f0d" xsi:nil="true"/>
    <TaxCatchAll xmlns="2958f784-0ef9-4616-b22d-512a8cad1f0d"/>
    <Manager xmlns="2958f784-0ef9-4616-b22d-512a8cad1f0d" xsi:nil="true"/>
    <NumericId xmlns="2958f784-0ef9-4616-b22d-512a8cad1f0d" xsi:nil="true"/>
    <ParentAssetId xmlns="2958f784-0ef9-4616-b22d-512a8cad1f0d" xsi:nil="true"/>
    <OriginalSourceMarket xmlns="2958f784-0ef9-4616-b22d-512a8cad1f0d">english</OriginalSourceMarket>
    <ApprovalStatus xmlns="2958f784-0ef9-4616-b22d-512a8cad1f0d">InProgress</ApprovalStatus>
    <TPComponent xmlns="2958f784-0ef9-4616-b22d-512a8cad1f0d" xsi:nil="true"/>
    <EditorialTags xmlns="2958f784-0ef9-4616-b22d-512a8cad1f0d" xsi:nil="true"/>
    <TPExecutable xmlns="2958f784-0ef9-4616-b22d-512a8cad1f0d" xsi:nil="true"/>
    <TPLaunchHelpLink xmlns="2958f784-0ef9-4616-b22d-512a8cad1f0d" xsi:nil="true"/>
    <LocComments xmlns="2958f784-0ef9-4616-b22d-512a8cad1f0d" xsi:nil="true"/>
    <LocRecommendedHandoff xmlns="2958f784-0ef9-4616-b22d-512a8cad1f0d" xsi:nil="true"/>
    <SourceTitle xmlns="2958f784-0ef9-4616-b22d-512a8cad1f0d" xsi:nil="true"/>
    <CSXUpdate xmlns="2958f784-0ef9-4616-b22d-512a8cad1f0d">false</CSXUpdate>
    <IntlLocPriority xmlns="2958f784-0ef9-4616-b22d-512a8cad1f0d" xsi:nil="true"/>
    <UAProjectedTotalWords xmlns="2958f784-0ef9-4616-b22d-512a8cad1f0d" xsi:nil="true"/>
    <AssetType xmlns="2958f784-0ef9-4616-b22d-512a8cad1f0d">TP</AssetType>
    <MachineTranslated xmlns="2958f784-0ef9-4616-b22d-512a8cad1f0d">false</MachineTranslated>
    <OutputCachingOn xmlns="2958f784-0ef9-4616-b22d-512a8cad1f0d">false</OutputCachingOn>
    <TemplateStatus xmlns="2958f784-0ef9-4616-b22d-512a8cad1f0d">Complete</TemplateStatus>
    <IsSearchable xmlns="2958f784-0ef9-4616-b22d-512a8cad1f0d">true</IsSearchable>
    <ContentItem xmlns="2958f784-0ef9-4616-b22d-512a8cad1f0d" xsi:nil="true"/>
    <HandoffToMSDN xmlns="2958f784-0ef9-4616-b22d-512a8cad1f0d" xsi:nil="true"/>
    <ShowIn xmlns="2958f784-0ef9-4616-b22d-512a8cad1f0d">Show everywhere</ShowIn>
    <ThumbnailAssetId xmlns="2958f784-0ef9-4616-b22d-512a8cad1f0d" xsi:nil="true"/>
    <UALocComments xmlns="2958f784-0ef9-4616-b22d-512a8cad1f0d" xsi:nil="true"/>
    <UALocRecommendation xmlns="2958f784-0ef9-4616-b22d-512a8cad1f0d">Localize</UALocRecommendation>
    <LastModifiedDateTime xmlns="2958f784-0ef9-4616-b22d-512a8cad1f0d" xsi:nil="true"/>
    <LegacyData xmlns="2958f784-0ef9-4616-b22d-512a8cad1f0d" xsi:nil="true"/>
    <LocManualTestRequired xmlns="2958f784-0ef9-4616-b22d-512a8cad1f0d">false</LocManualTestRequired>
    <LocMarketGroupTiers2 xmlns="2958f784-0ef9-4616-b22d-512a8cad1f0d" xsi:nil="true"/>
    <ClipArtFilename xmlns="2958f784-0ef9-4616-b22d-512a8cad1f0d" xsi:nil="true"/>
    <TPApplication xmlns="2958f784-0ef9-4616-b22d-512a8cad1f0d" xsi:nil="true"/>
    <CSXHash xmlns="2958f784-0ef9-4616-b22d-512a8cad1f0d" xsi:nil="true"/>
    <DirectSourceMarket xmlns="2958f784-0ef9-4616-b22d-512a8cad1f0d">english</DirectSourceMarket>
    <PrimaryImageGen xmlns="2958f784-0ef9-4616-b22d-512a8cad1f0d">true</PrimaryImageGen>
    <PlannedPubDate xmlns="2958f784-0ef9-4616-b22d-512a8cad1f0d" xsi:nil="true"/>
    <CSXSubmissionMarket xmlns="2958f784-0ef9-4616-b22d-512a8cad1f0d" xsi:nil="true"/>
    <Downloads xmlns="2958f784-0ef9-4616-b22d-512a8cad1f0d">0</Downloads>
    <ArtSampleDocs xmlns="2958f784-0ef9-4616-b22d-512a8cad1f0d" xsi:nil="true"/>
    <TrustLevel xmlns="2958f784-0ef9-4616-b22d-512a8cad1f0d">1 Microsoft Managed Content</TrustLevel>
    <BlockPublish xmlns="2958f784-0ef9-4616-b22d-512a8cad1f0d">false</BlockPublish>
    <TPLaunchHelpLinkType xmlns="2958f784-0ef9-4616-b22d-512a8cad1f0d">Template</TPLaunchHelpLinkType>
    <LocalizationTagsTaxHTField0 xmlns="2958f784-0ef9-4616-b22d-512a8cad1f0d">
      <Terms xmlns="http://schemas.microsoft.com/office/infopath/2007/PartnerControls"/>
    </LocalizationTagsTaxHTField0>
    <BusinessGroup xmlns="2958f784-0ef9-4616-b22d-512a8cad1f0d" xsi:nil="true"/>
    <Providers xmlns="2958f784-0ef9-4616-b22d-512a8cad1f0d" xsi:nil="true"/>
    <TemplateTemplateType xmlns="2958f784-0ef9-4616-b22d-512a8cad1f0d">Excel 2007 Default</TemplateTemplateType>
    <TimesCloned xmlns="2958f784-0ef9-4616-b22d-512a8cad1f0d" xsi:nil="true"/>
    <TPAppVersion xmlns="2958f784-0ef9-4616-b22d-512a8cad1f0d" xsi:nil="true"/>
    <VoteCount xmlns="2958f784-0ef9-4616-b22d-512a8cad1f0d" xsi:nil="true"/>
    <AverageRating xmlns="2958f784-0ef9-4616-b22d-512a8cad1f0d" xsi:nil="true"/>
    <FeatureTagsTaxHTField0 xmlns="2958f784-0ef9-4616-b22d-512a8cad1f0d">
      <Terms xmlns="http://schemas.microsoft.com/office/infopath/2007/PartnerControls"/>
    </FeatureTagsTaxHTField0>
    <Provider xmlns="2958f784-0ef9-4616-b22d-512a8cad1f0d" xsi:nil="true"/>
    <UACurrentWords xmlns="2958f784-0ef9-4616-b22d-512a8cad1f0d" xsi:nil="true"/>
    <AssetId xmlns="2958f784-0ef9-4616-b22d-512a8cad1f0d">TP103107636</AssetId>
    <TPClientViewer xmlns="2958f784-0ef9-4616-b22d-512a8cad1f0d" xsi:nil="true"/>
    <DSATActionTaken xmlns="2958f784-0ef9-4616-b22d-512a8cad1f0d" xsi:nil="true"/>
    <APEditor xmlns="2958f784-0ef9-4616-b22d-512a8cad1f0d">
      <UserInfo>
        <DisplayName/>
        <AccountId xsi:nil="true"/>
        <AccountType/>
      </UserInfo>
    </APEditor>
    <TPInstallLocation xmlns="2958f784-0ef9-4616-b22d-512a8cad1f0d" xsi:nil="true"/>
    <OOCacheId xmlns="2958f784-0ef9-4616-b22d-512a8cad1f0d" xsi:nil="true"/>
    <IsDeleted xmlns="2958f784-0ef9-4616-b22d-512a8cad1f0d">false</IsDeleted>
    <PublishTargets xmlns="2958f784-0ef9-4616-b22d-512a8cad1f0d">OfficeOnlineVNext</PublishTargets>
    <ApprovalLog xmlns="2958f784-0ef9-4616-b22d-512a8cad1f0d" xsi:nil="true"/>
    <BugNumber xmlns="2958f784-0ef9-4616-b22d-512a8cad1f0d" xsi:nil="true"/>
    <CrawlForDependencies xmlns="2958f784-0ef9-4616-b22d-512a8cad1f0d">false</CrawlForDependencies>
    <InternalTagsTaxHTField0 xmlns="2958f784-0ef9-4616-b22d-512a8cad1f0d">
      <Terms xmlns="http://schemas.microsoft.com/office/infopath/2007/PartnerControls"/>
    </InternalTagsTaxHTField0>
    <LastHandOff xmlns="2958f784-0ef9-4616-b22d-512a8cad1f0d" xsi:nil="true"/>
    <Milestone xmlns="2958f784-0ef9-4616-b22d-512a8cad1f0d" xsi:nil="true"/>
    <OriginalRelease xmlns="2958f784-0ef9-4616-b22d-512a8cad1f0d">15</OriginalRelease>
    <RecommendationsModifier xmlns="2958f784-0ef9-4616-b22d-512a8cad1f0d" xsi:nil="true"/>
    <ScenarioTagsTaxHTField0 xmlns="2958f784-0ef9-4616-b22d-512a8cad1f0d">
      <Terms xmlns="http://schemas.microsoft.com/office/infopath/2007/PartnerControls"/>
    </ScenarioTagsTaxHTField0>
    <UANotes xmlns="2958f784-0ef9-4616-b22d-512a8cad1f0d" xsi:nil="true"/>
    <Description0 xmlns="fb5acd76-e9f3-4601-9d69-91f53ab96ae6" xsi:nil="true"/>
    <Component xmlns="fb5acd76-e9f3-4601-9d69-91f53ab96ae6" xsi:nil="true"/>
  </documentManagement>
</p:properties>
</file>

<file path=customXml/itemProps1.xml><?xml version="1.0" encoding="utf-8"?>
<ds:datastoreItem xmlns:ds="http://schemas.openxmlformats.org/officeDocument/2006/customXml" ds:itemID="{8739ABB9-C4A9-4552-94A3-8ADEE5C7BDDA}"/>
</file>

<file path=customXml/itemProps2.xml><?xml version="1.0" encoding="utf-8"?>
<ds:datastoreItem xmlns:ds="http://schemas.openxmlformats.org/officeDocument/2006/customXml" ds:itemID="{484A6592-B3DF-4E49-A978-FDD19C943EFD}"/>
</file>

<file path=customXml/itemProps3.xml><?xml version="1.0" encoding="utf-8"?>
<ds:datastoreItem xmlns:ds="http://schemas.openxmlformats.org/officeDocument/2006/customXml" ds:itemID="{5B3E0B03-3C0B-4CFD-B845-625A9F95FDA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Balance del flujo de caja</vt:lpstr>
      <vt:lpstr>FechaDeInicioelañoFiscal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2012-07-26T18:07:35Z</dcterms:created>
  <dcterms:modified xsi:type="dcterms:W3CDTF">2012-09-26T06:24:49Z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0x010100DE95A0C693CEB341887D38A4A2B58B45040072C752107C5A7B47AA91A1EE638E6F1F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LocMarketGroupTiers">
    <vt:lpwstr/>
  </property>
  <property fmtid="{D5CDD505-2E9C-101B-9397-08002B2CF9AE}" pid="11" name="CategoryTagsTaxHTField0">
    <vt:lpwstr/>
  </property>
  <property fmtid="{D5CDD505-2E9C-101B-9397-08002B2CF9AE}" pid="12" name="HiddenCategoryTagsTaxHTField0">
    <vt:lpwstr/>
  </property>
</Properties>
</file>