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4915" windowHeight="12075"/>
  </bookViews>
  <sheets>
    <sheet name="Formulas" sheetId="1" r:id="rId1"/>
    <sheet name="Macro" sheetId="2" r:id="rId2"/>
  </sheets>
  <calcPr calcId="145621"/>
</workbook>
</file>

<file path=xl/calcChain.xml><?xml version="1.0" encoding="utf-8"?>
<calcChain xmlns="http://schemas.openxmlformats.org/spreadsheetml/2006/main">
  <c r="G13" i="2" l="1"/>
  <c r="F13" i="2"/>
  <c r="E13" i="2"/>
  <c r="G12" i="2"/>
  <c r="F12" i="2"/>
  <c r="E12" i="2"/>
  <c r="G11" i="2"/>
  <c r="F11" i="2"/>
  <c r="E11" i="2"/>
  <c r="G10" i="2"/>
  <c r="F10" i="2"/>
  <c r="E10" i="2"/>
  <c r="G9" i="2"/>
  <c r="F9" i="2"/>
  <c r="E9" i="2"/>
  <c r="G8" i="2"/>
  <c r="F8" i="2"/>
  <c r="E8" i="2"/>
  <c r="G7" i="2"/>
  <c r="F7" i="2"/>
  <c r="E7" i="2"/>
  <c r="G6" i="2"/>
  <c r="F6" i="2"/>
  <c r="E6" i="2"/>
  <c r="G5" i="2"/>
  <c r="F5" i="2"/>
  <c r="E5" i="2"/>
  <c r="G4" i="2"/>
  <c r="F4" i="2"/>
  <c r="E4" i="2"/>
  <c r="G3" i="2"/>
  <c r="F3" i="2"/>
  <c r="E3" i="2"/>
  <c r="G2" i="2"/>
  <c r="F2" i="2"/>
  <c r="E2" i="2"/>
  <c r="G2" i="1"/>
  <c r="E2" i="1"/>
  <c r="B4" i="2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B4" i="1"/>
  <c r="G3" i="1" l="1"/>
  <c r="G5" i="1"/>
  <c r="G7" i="1"/>
  <c r="G9" i="1"/>
  <c r="G11" i="1"/>
  <c r="G13" i="1"/>
  <c r="G15" i="1"/>
  <c r="G17" i="1"/>
  <c r="G19" i="1"/>
  <c r="G21" i="1"/>
  <c r="G23" i="1"/>
  <c r="G25" i="1"/>
  <c r="G4" i="1"/>
  <c r="G6" i="1"/>
  <c r="G8" i="1"/>
  <c r="G10" i="1"/>
  <c r="G12" i="1"/>
  <c r="G14" i="1"/>
  <c r="G16" i="1"/>
  <c r="G18" i="1"/>
  <c r="G20" i="1"/>
  <c r="G22" i="1"/>
  <c r="G24" i="1"/>
</calcChain>
</file>

<file path=xl/sharedStrings.xml><?xml version="1.0" encoding="utf-8"?>
<sst xmlns="http://schemas.openxmlformats.org/spreadsheetml/2006/main" count="16" uniqueCount="8">
  <si>
    <t>Monto del crédito:</t>
  </si>
  <si>
    <t>Tasa de interés (anual):</t>
  </si>
  <si>
    <t>Número de pagos (mensuales):</t>
  </si>
  <si>
    <t>Pago (mensual):</t>
  </si>
  <si>
    <t># Pago</t>
  </si>
  <si>
    <t>Pago Interés</t>
  </si>
  <si>
    <t>Pago Capital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</si>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</sst>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;[Red]\-&quot;$&quot;#,##0.00"/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Font="1" applyBorder="1" applyAlignment="1">
      <alignment horizontal="right"/>
    </xf>
    <xf numFmtId="0" fontId="0" fillId="2" borderId="3" xfId="0" applyFont="1" applyFill="1" applyBorder="1" applyAlignment="1">
      <alignment horizontal="right"/>
    </xf>
    <xf numFmtId="164" fontId="0" fillId="2" borderId="4" xfId="0" applyNumberFormat="1" applyFont="1" applyFill="1" applyBorder="1"/>
    <xf numFmtId="0" fontId="0" fillId="0" borderId="3" xfId="0" applyFont="1" applyBorder="1" applyAlignment="1">
      <alignment horizontal="right"/>
    </xf>
    <xf numFmtId="9" fontId="0" fillId="0" borderId="4" xfId="0" applyNumberFormat="1" applyFont="1" applyBorder="1"/>
    <xf numFmtId="0" fontId="0" fillId="2" borderId="4" xfId="0" applyFont="1" applyFill="1" applyBorder="1"/>
    <xf numFmtId="8" fontId="0" fillId="0" borderId="2" xfId="0" applyNumberFormat="1" applyFont="1" applyBorder="1"/>
    <xf numFmtId="0" fontId="0" fillId="0" borderId="5" xfId="0" applyFont="1" applyBorder="1"/>
    <xf numFmtId="0" fontId="0" fillId="4" borderId="7" xfId="0" applyFont="1" applyFill="1" applyBorder="1"/>
    <xf numFmtId="0" fontId="0" fillId="0" borderId="7" xfId="0" applyFont="1" applyBorder="1"/>
    <xf numFmtId="164" fontId="0" fillId="4" borderId="10" xfId="0" applyNumberFormat="1" applyFont="1" applyFill="1" applyBorder="1"/>
    <xf numFmtId="164" fontId="0" fillId="4" borderId="8" xfId="0" applyNumberFormat="1" applyFont="1" applyFill="1" applyBorder="1"/>
    <xf numFmtId="164" fontId="0" fillId="0" borderId="10" xfId="0" applyNumberFormat="1" applyFont="1" applyBorder="1"/>
    <xf numFmtId="164" fontId="0" fillId="0" borderId="8" xfId="0" applyNumberFormat="1" applyFont="1" applyBorder="1"/>
    <xf numFmtId="164" fontId="0" fillId="0" borderId="9" xfId="0" applyNumberFormat="1" applyFont="1" applyBorder="1"/>
    <xf numFmtId="164" fontId="0" fillId="0" borderId="6" xfId="0" applyNumberFormat="1" applyFont="1" applyBorder="1"/>
    <xf numFmtId="0" fontId="1" fillId="3" borderId="7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164" fontId="1" fillId="3" borderId="10" xfId="0" applyNumberFormat="1" applyFont="1" applyFill="1" applyBorder="1" applyAlignment="1">
      <alignment horizontal="center"/>
    </xf>
    <xf numFmtId="164" fontId="1" fillId="3" borderId="8" xfId="0" applyNumberFormat="1" applyFont="1" applyFill="1" applyBorder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5</xdr:row>
          <xdr:rowOff>104775</xdr:rowOff>
        </xdr:from>
        <xdr:to>
          <xdr:col>1</xdr:col>
          <xdr:colOff>609600</xdr:colOff>
          <xdr:row>7</xdr:row>
          <xdr:rowOff>57150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25"/>
  <sheetViews>
    <sheetView tabSelected="1" workbookViewId="0">
      <selection activeCell="E2" sqref="E2"/>
    </sheetView>
  </sheetViews>
  <sheetFormatPr baseColWidth="10" defaultRowHeight="15" x14ac:dyDescent="0.25"/>
  <cols>
    <col min="1" max="1" width="29" bestFit="1" customWidth="1"/>
    <col min="2" max="2" width="12" customWidth="1"/>
    <col min="5" max="5" width="14.140625" customWidth="1"/>
    <col min="6" max="6" width="14" customWidth="1"/>
  </cols>
  <sheetData>
    <row r="1" spans="1:7" x14ac:dyDescent="0.25">
      <c r="A1" s="2" t="s">
        <v>0</v>
      </c>
      <c r="B1" s="3">
        <v>150000</v>
      </c>
      <c r="D1" s="17" t="s">
        <v>4</v>
      </c>
      <c r="E1" s="18" t="s">
        <v>5</v>
      </c>
      <c r="F1" s="18" t="s">
        <v>6</v>
      </c>
      <c r="G1" s="19" t="s">
        <v>7</v>
      </c>
    </row>
    <row r="2" spans="1:7" x14ac:dyDescent="0.25">
      <c r="A2" s="4" t="s">
        <v>1</v>
      </c>
      <c r="B2" s="5">
        <v>0.12</v>
      </c>
      <c r="D2" s="9">
        <v>1</v>
      </c>
      <c r="E2" s="11">
        <f>IPMT($B$2/12,D2,$B$3,-$B$1)</f>
        <v>1500</v>
      </c>
      <c r="F2" s="11">
        <f>PPMT($B$2/12,D2,$B$3,-$B$1)</f>
        <v>5561.0208334897052</v>
      </c>
      <c r="G2" s="12">
        <f>$B$1-SUM($F$2:F2)</f>
        <v>144438.97916651028</v>
      </c>
    </row>
    <row r="3" spans="1:7" x14ac:dyDescent="0.25">
      <c r="A3" s="2" t="s">
        <v>2</v>
      </c>
      <c r="B3" s="6">
        <v>24</v>
      </c>
      <c r="D3" s="10">
        <v>2</v>
      </c>
      <c r="E3" s="13">
        <f t="shared" ref="E3:E25" si="0">IPMT($B$2/12,D3,$B$3,-$B$1)</f>
        <v>1444.3897916651028</v>
      </c>
      <c r="F3" s="13">
        <f t="shared" ref="F3:F25" si="1">PPMT($B$2/12,D3,$B$3,-$B$1)</f>
        <v>5616.6310418246021</v>
      </c>
      <c r="G3" s="14">
        <f>$B$1-SUM($F$2:F3)</f>
        <v>138822.3481246857</v>
      </c>
    </row>
    <row r="4" spans="1:7" x14ac:dyDescent="0.25">
      <c r="A4" s="1" t="s">
        <v>3</v>
      </c>
      <c r="B4" s="7">
        <f>PMT(B2/12,B3,-B1)</f>
        <v>7061.0208334897052</v>
      </c>
      <c r="D4" s="9">
        <v>3</v>
      </c>
      <c r="E4" s="11">
        <f t="shared" si="0"/>
        <v>1388.2234812468573</v>
      </c>
      <c r="F4" s="11">
        <f t="shared" si="1"/>
        <v>5672.7973522428483</v>
      </c>
      <c r="G4" s="12">
        <f>$B$1-SUM($F$2:F4)</f>
        <v>133149.55077244283</v>
      </c>
    </row>
    <row r="5" spans="1:7" x14ac:dyDescent="0.25">
      <c r="D5" s="10">
        <v>4</v>
      </c>
      <c r="E5" s="13">
        <f t="shared" si="0"/>
        <v>1331.4955077244285</v>
      </c>
      <c r="F5" s="13">
        <f t="shared" si="1"/>
        <v>5729.5253257652766</v>
      </c>
      <c r="G5" s="14">
        <f>$B$1-SUM($F$2:F5)</f>
        <v>127420.02544667757</v>
      </c>
    </row>
    <row r="6" spans="1:7" x14ac:dyDescent="0.25">
      <c r="D6" s="9">
        <v>5</v>
      </c>
      <c r="E6" s="11">
        <f t="shared" si="0"/>
        <v>1274.2002544667757</v>
      </c>
      <c r="F6" s="11">
        <f t="shared" si="1"/>
        <v>5786.8205790229295</v>
      </c>
      <c r="G6" s="12">
        <f>$B$1-SUM($F$2:F6)</f>
        <v>121633.20486765464</v>
      </c>
    </row>
    <row r="7" spans="1:7" x14ac:dyDescent="0.25">
      <c r="D7" s="10">
        <v>6</v>
      </c>
      <c r="E7" s="13">
        <f t="shared" si="0"/>
        <v>1216.3320486765465</v>
      </c>
      <c r="F7" s="13">
        <f t="shared" si="1"/>
        <v>5844.6887848131582</v>
      </c>
      <c r="G7" s="14">
        <f>$B$1-SUM($F$2:F7)</f>
        <v>115788.51608284148</v>
      </c>
    </row>
    <row r="8" spans="1:7" x14ac:dyDescent="0.25">
      <c r="D8" s="9">
        <v>7</v>
      </c>
      <c r="E8" s="11">
        <f t="shared" si="0"/>
        <v>1157.8851608284147</v>
      </c>
      <c r="F8" s="11">
        <f t="shared" si="1"/>
        <v>5903.1356726612912</v>
      </c>
      <c r="G8" s="12">
        <f>$B$1-SUM($F$2:F8)</f>
        <v>109885.38041018019</v>
      </c>
    </row>
    <row r="9" spans="1:7" x14ac:dyDescent="0.25">
      <c r="D9" s="10">
        <v>8</v>
      </c>
      <c r="E9" s="13">
        <f t="shared" si="0"/>
        <v>1098.8538041018019</v>
      </c>
      <c r="F9" s="13">
        <f t="shared" si="1"/>
        <v>5962.1670293879033</v>
      </c>
      <c r="G9" s="14">
        <f>$B$1-SUM($F$2:F9)</f>
        <v>103923.21338079228</v>
      </c>
    </row>
    <row r="10" spans="1:7" x14ac:dyDescent="0.25">
      <c r="D10" s="9">
        <v>9</v>
      </c>
      <c r="E10" s="11">
        <f t="shared" si="0"/>
        <v>1039.2321338079228</v>
      </c>
      <c r="F10" s="11">
        <f t="shared" si="1"/>
        <v>6021.7886996817824</v>
      </c>
      <c r="G10" s="12">
        <f>$B$1-SUM($F$2:F10)</f>
        <v>97901.424681110497</v>
      </c>
    </row>
    <row r="11" spans="1:7" x14ac:dyDescent="0.25">
      <c r="D11" s="10">
        <v>10</v>
      </c>
      <c r="E11" s="13">
        <f t="shared" si="0"/>
        <v>979.01424681110484</v>
      </c>
      <c r="F11" s="13">
        <f t="shared" si="1"/>
        <v>6082.0065866786008</v>
      </c>
      <c r="G11" s="14">
        <f>$B$1-SUM($F$2:F11)</f>
        <v>91819.418094431894</v>
      </c>
    </row>
    <row r="12" spans="1:7" x14ac:dyDescent="0.25">
      <c r="D12" s="9">
        <v>11</v>
      </c>
      <c r="E12" s="11">
        <f t="shared" si="0"/>
        <v>918.19418094431899</v>
      </c>
      <c r="F12" s="11">
        <f t="shared" si="1"/>
        <v>6142.8266525453864</v>
      </c>
      <c r="G12" s="12">
        <f>$B$1-SUM($F$2:F12)</f>
        <v>85676.5914418865</v>
      </c>
    </row>
    <row r="13" spans="1:7" x14ac:dyDescent="0.25">
      <c r="D13" s="10">
        <v>12</v>
      </c>
      <c r="E13" s="13">
        <f t="shared" si="0"/>
        <v>856.76591441886512</v>
      </c>
      <c r="F13" s="13">
        <f t="shared" si="1"/>
        <v>6204.2549190708405</v>
      </c>
      <c r="G13" s="14">
        <f>$B$1-SUM($F$2:F13)</f>
        <v>79472.336522815662</v>
      </c>
    </row>
    <row r="14" spans="1:7" x14ac:dyDescent="0.25">
      <c r="D14" s="9">
        <v>13</v>
      </c>
      <c r="E14" s="11">
        <f t="shared" si="0"/>
        <v>794.72336522815658</v>
      </c>
      <c r="F14" s="11">
        <f t="shared" si="1"/>
        <v>6266.2974682615486</v>
      </c>
      <c r="G14" s="12">
        <f>$B$1-SUM($F$2:F14)</f>
        <v>73206.039054554116</v>
      </c>
    </row>
    <row r="15" spans="1:7" x14ac:dyDescent="0.25">
      <c r="D15" s="10">
        <v>14</v>
      </c>
      <c r="E15" s="13">
        <f t="shared" si="0"/>
        <v>732.06039054554117</v>
      </c>
      <c r="F15" s="13">
        <f t="shared" si="1"/>
        <v>6328.9604429441642</v>
      </c>
      <c r="G15" s="14">
        <f>$B$1-SUM($F$2:F15)</f>
        <v>66877.078611609948</v>
      </c>
    </row>
    <row r="16" spans="1:7" x14ac:dyDescent="0.25">
      <c r="D16" s="9">
        <v>15</v>
      </c>
      <c r="E16" s="11">
        <f t="shared" si="0"/>
        <v>668.77078611609954</v>
      </c>
      <c r="F16" s="11">
        <f t="shared" si="1"/>
        <v>6392.2500473736054</v>
      </c>
      <c r="G16" s="12">
        <f>$B$1-SUM($F$2:F16)</f>
        <v>60484.828564236348</v>
      </c>
    </row>
    <row r="17" spans="4:7" x14ac:dyDescent="0.25">
      <c r="D17" s="10">
        <v>16</v>
      </c>
      <c r="E17" s="13">
        <f t="shared" si="0"/>
        <v>604.84828564236352</v>
      </c>
      <c r="F17" s="13">
        <f t="shared" si="1"/>
        <v>6456.1725478473427</v>
      </c>
      <c r="G17" s="14">
        <f>$B$1-SUM($F$2:F17)</f>
        <v>54028.65601638901</v>
      </c>
    </row>
    <row r="18" spans="4:7" x14ac:dyDescent="0.25">
      <c r="D18" s="9">
        <v>17</v>
      </c>
      <c r="E18" s="11">
        <f t="shared" si="0"/>
        <v>540.28656016388993</v>
      </c>
      <c r="F18" s="11">
        <f t="shared" si="1"/>
        <v>6520.7342733258147</v>
      </c>
      <c r="G18" s="12">
        <f>$B$1-SUM($F$2:F18)</f>
        <v>47507.921743063198</v>
      </c>
    </row>
    <row r="19" spans="4:7" x14ac:dyDescent="0.25">
      <c r="D19" s="10">
        <v>18</v>
      </c>
      <c r="E19" s="13">
        <f t="shared" si="0"/>
        <v>475.07921743063179</v>
      </c>
      <c r="F19" s="13">
        <f t="shared" si="1"/>
        <v>6585.9416160590727</v>
      </c>
      <c r="G19" s="14">
        <f>$B$1-SUM($F$2:F19)</f>
        <v>40921.980127004121</v>
      </c>
    </row>
    <row r="20" spans="4:7" x14ac:dyDescent="0.25">
      <c r="D20" s="9">
        <v>19</v>
      </c>
      <c r="E20" s="11">
        <f t="shared" si="0"/>
        <v>409.21980127004105</v>
      </c>
      <c r="F20" s="11">
        <f t="shared" si="1"/>
        <v>6651.8010322196642</v>
      </c>
      <c r="G20" s="12">
        <f>$B$1-SUM($F$2:F20)</f>
        <v>34270.179094784457</v>
      </c>
    </row>
    <row r="21" spans="4:7" x14ac:dyDescent="0.25">
      <c r="D21" s="10">
        <v>20</v>
      </c>
      <c r="E21" s="13">
        <f t="shared" si="0"/>
        <v>342.70179094784442</v>
      </c>
      <c r="F21" s="13">
        <f t="shared" si="1"/>
        <v>6718.3190425418607</v>
      </c>
      <c r="G21" s="14">
        <f>$B$1-SUM($F$2:F21)</f>
        <v>27551.860052242599</v>
      </c>
    </row>
    <row r="22" spans="4:7" x14ac:dyDescent="0.25">
      <c r="D22" s="9">
        <v>21</v>
      </c>
      <c r="E22" s="11">
        <f t="shared" si="0"/>
        <v>275.5186005224258</v>
      </c>
      <c r="F22" s="11">
        <f t="shared" si="1"/>
        <v>6785.5022329672802</v>
      </c>
      <c r="G22" s="12">
        <f>$B$1-SUM($F$2:F22)</f>
        <v>20766.357819275319</v>
      </c>
    </row>
    <row r="23" spans="4:7" x14ac:dyDescent="0.25">
      <c r="D23" s="10">
        <v>22</v>
      </c>
      <c r="E23" s="13">
        <f t="shared" si="0"/>
        <v>207.66357819275299</v>
      </c>
      <c r="F23" s="13">
        <f t="shared" si="1"/>
        <v>6853.3572552969517</v>
      </c>
      <c r="G23" s="14">
        <f>$B$1-SUM($F$2:F23)</f>
        <v>13913.000563978363</v>
      </c>
    </row>
    <row r="24" spans="4:7" x14ac:dyDescent="0.25">
      <c r="D24" s="9">
        <v>23</v>
      </c>
      <c r="E24" s="11">
        <f t="shared" si="0"/>
        <v>139.13000563978346</v>
      </c>
      <c r="F24" s="11">
        <f t="shared" si="1"/>
        <v>6921.8908278499221</v>
      </c>
      <c r="G24" s="12">
        <f>$B$1-SUM($F$2:F24)</f>
        <v>6991.1097361284483</v>
      </c>
    </row>
    <row r="25" spans="4:7" x14ac:dyDescent="0.25">
      <c r="D25" s="8">
        <v>24</v>
      </c>
      <c r="E25" s="15">
        <f t="shared" si="0"/>
        <v>69.91109736128422</v>
      </c>
      <c r="F25" s="15">
        <f t="shared" si="1"/>
        <v>6991.1097361284201</v>
      </c>
      <c r="G25" s="16">
        <f>$B$1-SUM($F$2:F25)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13"/>
  <sheetViews>
    <sheetView workbookViewId="0">
      <selection activeCell="E2" sqref="E2"/>
    </sheetView>
  </sheetViews>
  <sheetFormatPr baseColWidth="10" defaultRowHeight="15" x14ac:dyDescent="0.25"/>
  <cols>
    <col min="1" max="1" width="29" bestFit="1" customWidth="1"/>
    <col min="2" max="2" width="12" customWidth="1"/>
    <col min="5" max="5" width="12" style="22" bestFit="1" customWidth="1"/>
    <col min="6" max="6" width="11.85546875" style="22" bestFit="1" customWidth="1"/>
    <col min="7" max="7" width="11.42578125" style="22"/>
  </cols>
  <sheetData>
    <row r="1" spans="1:7" x14ac:dyDescent="0.25">
      <c r="A1" s="2" t="s">
        <v>0</v>
      </c>
      <c r="B1" s="3">
        <v>150000</v>
      </c>
      <c r="D1" s="17" t="s">
        <v>4</v>
      </c>
      <c r="E1" s="20" t="s">
        <v>5</v>
      </c>
      <c r="F1" s="20" t="s">
        <v>6</v>
      </c>
      <c r="G1" s="21" t="s">
        <v>7</v>
      </c>
    </row>
    <row r="2" spans="1:7" x14ac:dyDescent="0.25">
      <c r="A2" s="4" t="s">
        <v>1</v>
      </c>
      <c r="B2" s="5">
        <v>0.12</v>
      </c>
      <c r="D2">
        <v>1</v>
      </c>
      <c r="E2" s="22">
        <f t="shared" ref="E2:E13" si="0">IPMT($B$2/12,D2,$B$3,-$B$1)</f>
        <v>1500</v>
      </c>
      <c r="F2" s="22">
        <f t="shared" ref="F2:F13" si="1">PPMT($B$2/12,D2,$B$3,-$B$1)</f>
        <v>11827.318301751253</v>
      </c>
      <c r="G2" s="22">
        <f>$B$1-SUM($F$2:F2)</f>
        <v>138172.68169824875</v>
      </c>
    </row>
    <row r="3" spans="1:7" x14ac:dyDescent="0.25">
      <c r="A3" s="2" t="s">
        <v>2</v>
      </c>
      <c r="B3" s="6">
        <v>12</v>
      </c>
      <c r="D3">
        <v>2</v>
      </c>
      <c r="E3" s="22">
        <f t="shared" si="0"/>
        <v>1381.7268169824874</v>
      </c>
      <c r="F3" s="22">
        <f t="shared" si="1"/>
        <v>11945.591484768765</v>
      </c>
      <c r="G3" s="22">
        <f>$B$1-SUM($F$2:F3)</f>
        <v>126227.09021347998</v>
      </c>
    </row>
    <row r="4" spans="1:7" x14ac:dyDescent="0.25">
      <c r="A4" s="1" t="s">
        <v>3</v>
      </c>
      <c r="B4" s="7">
        <f>PMT(B2/12,B3,-B1)</f>
        <v>13327.318301751253</v>
      </c>
      <c r="D4">
        <v>3</v>
      </c>
      <c r="E4" s="22">
        <f t="shared" si="0"/>
        <v>1262.2709021347998</v>
      </c>
      <c r="F4" s="22">
        <f t="shared" si="1"/>
        <v>12065.047399616453</v>
      </c>
      <c r="G4" s="22">
        <f>$B$1-SUM($F$2:F4)</f>
        <v>114162.04281386353</v>
      </c>
    </row>
    <row r="5" spans="1:7" x14ac:dyDescent="0.25">
      <c r="D5">
        <v>4</v>
      </c>
      <c r="E5" s="22">
        <f t="shared" si="0"/>
        <v>1141.6204281386351</v>
      </c>
      <c r="F5" s="22">
        <f t="shared" si="1"/>
        <v>12185.697873612617</v>
      </c>
      <c r="G5" s="22">
        <f>$B$1-SUM($F$2:F5)</f>
        <v>101976.34494025091</v>
      </c>
    </row>
    <row r="6" spans="1:7" x14ac:dyDescent="0.25">
      <c r="D6">
        <v>5</v>
      </c>
      <c r="E6" s="22">
        <f t="shared" si="0"/>
        <v>1019.7634494025089</v>
      </c>
      <c r="F6" s="22">
        <f t="shared" si="1"/>
        <v>12307.554852348743</v>
      </c>
      <c r="G6" s="22">
        <f>$B$1-SUM($F$2:F6)</f>
        <v>89668.790087902162</v>
      </c>
    </row>
    <row r="7" spans="1:7" x14ac:dyDescent="0.25">
      <c r="D7">
        <v>6</v>
      </c>
      <c r="E7" s="22">
        <f t="shared" si="0"/>
        <v>896.6879008790213</v>
      </c>
      <c r="F7" s="22">
        <f t="shared" si="1"/>
        <v>12430.630400872231</v>
      </c>
      <c r="G7" s="22">
        <f>$B$1-SUM($F$2:F7)</f>
        <v>77238.15968702994</v>
      </c>
    </row>
    <row r="8" spans="1:7" x14ac:dyDescent="0.25">
      <c r="D8">
        <v>7</v>
      </c>
      <c r="E8" s="22">
        <f t="shared" si="0"/>
        <v>772.38159687029918</v>
      </c>
      <c r="F8" s="22">
        <f t="shared" si="1"/>
        <v>12554.936704880954</v>
      </c>
      <c r="G8" s="22">
        <f>$B$1-SUM($F$2:F8)</f>
        <v>64683.222982148989</v>
      </c>
    </row>
    <row r="9" spans="1:7" x14ac:dyDescent="0.25">
      <c r="D9">
        <v>8</v>
      </c>
      <c r="E9" s="22">
        <f t="shared" si="0"/>
        <v>646.83222982148959</v>
      </c>
      <c r="F9" s="22">
        <f t="shared" si="1"/>
        <v>12680.486071929765</v>
      </c>
      <c r="G9" s="22">
        <f>$B$1-SUM($F$2:F9)</f>
        <v>52002.736910219217</v>
      </c>
    </row>
    <row r="10" spans="1:7" x14ac:dyDescent="0.25">
      <c r="D10">
        <v>9</v>
      </c>
      <c r="E10" s="22">
        <f t="shared" si="0"/>
        <v>520.02736910219187</v>
      </c>
      <c r="F10" s="22">
        <f t="shared" si="1"/>
        <v>12807.290932649063</v>
      </c>
      <c r="G10" s="22">
        <f>$B$1-SUM($F$2:F10)</f>
        <v>39195.445977570154</v>
      </c>
    </row>
    <row r="11" spans="1:7" x14ac:dyDescent="0.25">
      <c r="D11">
        <v>10</v>
      </c>
      <c r="E11" s="22">
        <f t="shared" si="0"/>
        <v>391.95445977570125</v>
      </c>
      <c r="F11" s="22">
        <f t="shared" si="1"/>
        <v>12935.36384197555</v>
      </c>
      <c r="G11" s="22">
        <f>$B$1-SUM($F$2:F11)</f>
        <v>26260.08213559461</v>
      </c>
    </row>
    <row r="12" spans="1:7" x14ac:dyDescent="0.25">
      <c r="D12">
        <v>11</v>
      </c>
      <c r="E12" s="22">
        <f t="shared" si="0"/>
        <v>262.60082135594575</v>
      </c>
      <c r="F12" s="22">
        <f t="shared" si="1"/>
        <v>13064.717480395306</v>
      </c>
      <c r="G12" s="22">
        <f>$B$1-SUM($F$2:F12)</f>
        <v>13195.364655199315</v>
      </c>
    </row>
    <row r="13" spans="1:7" x14ac:dyDescent="0.25">
      <c r="D13">
        <v>12</v>
      </c>
      <c r="E13" s="22">
        <f t="shared" si="0"/>
        <v>131.95364655199262</v>
      </c>
      <c r="F13" s="22">
        <f t="shared" si="1"/>
        <v>13195.364655199261</v>
      </c>
      <c r="G13" s="22">
        <f>$B$1-SUM($F$2:F13)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0</xdr:col>
                <xdr:colOff>990600</xdr:colOff>
                <xdr:row>5</xdr:row>
                <xdr:rowOff>104775</xdr:rowOff>
              </from>
              <to>
                <xdr:col>1</xdr:col>
                <xdr:colOff>609600</xdr:colOff>
                <xdr:row>7</xdr:row>
                <xdr:rowOff>57150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Formulas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Moises</cp:lastModifiedBy>
  <dcterms:created xsi:type="dcterms:W3CDTF">2013-04-09T00:35:56Z</dcterms:created>
  <dcterms:modified xsi:type="dcterms:W3CDTF">2013-04-09T05:36:17Z</dcterms:modified>
</cp:coreProperties>
</file>